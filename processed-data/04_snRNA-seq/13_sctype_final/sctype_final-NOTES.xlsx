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4_snRNA-seq/13_sctype_final/"/>
    </mc:Choice>
  </mc:AlternateContent>
  <xr:revisionPtr revIDLastSave="41" documentId="8_{6C2E3B46-881E-104E-9C6F-4068EED76B5F}" xr6:coauthVersionLast="47" xr6:coauthVersionMax="47" xr10:uidLastSave="{770F0E78-C919-F74C-A308-764ABD21CF11}"/>
  <bookViews>
    <workbookView xWindow="480" yWindow="760" windowWidth="30240" windowHeight="17540" xr2:uid="{29A9A955-D5B8-1042-8754-9C10FC181668}"/>
  </bookViews>
  <sheets>
    <sheet name="sctype_final-NOTES" sheetId="1" r:id="rId1"/>
  </sheets>
  <definedNames>
    <definedName name="_xlnm._FilterDatabase" localSheetId="0" hidden="1">'sctype_final-NOTES'!$A$1:$N$1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3" i="1"/>
  <c r="K15" i="1"/>
  <c r="K17" i="1"/>
  <c r="K22" i="1"/>
  <c r="K16" i="1"/>
  <c r="K21" i="1"/>
  <c r="K2" i="1"/>
  <c r="K8" i="1"/>
  <c r="K24" i="1"/>
  <c r="K12" i="1"/>
  <c r="K19" i="1"/>
  <c r="K18" i="1"/>
  <c r="K20" i="1"/>
  <c r="K9" i="1"/>
  <c r="K23" i="1"/>
</calcChain>
</file>

<file path=xl/sharedStrings.xml><?xml version="1.0" encoding="utf-8"?>
<sst xmlns="http://schemas.openxmlformats.org/spreadsheetml/2006/main" count="258" uniqueCount="124">
  <si>
    <t>cluster</t>
  </si>
  <si>
    <t>type</t>
  </si>
  <si>
    <t>scores</t>
  </si>
  <si>
    <t>cell_type_broad</t>
  </si>
  <si>
    <t>cell_type_class</t>
  </si>
  <si>
    <t>cell_type_fine</t>
  </si>
  <si>
    <t>k13c10</t>
  </si>
  <si>
    <t>Astrocytes</t>
  </si>
  <si>
    <t>Astro</t>
  </si>
  <si>
    <t>glia</t>
  </si>
  <si>
    <t>Astro.1</t>
  </si>
  <si>
    <t>k13c03</t>
  </si>
  <si>
    <t>Astro.2</t>
  </si>
  <si>
    <t>k13c01</t>
  </si>
  <si>
    <t>Endothelial cells</t>
  </si>
  <si>
    <t>Endo</t>
  </si>
  <si>
    <t>Endo.1</t>
  </si>
  <si>
    <t>Micro</t>
  </si>
  <si>
    <t>Micro.1</t>
  </si>
  <si>
    <t>k13c05</t>
  </si>
  <si>
    <t>Microglial cells</t>
  </si>
  <si>
    <t>Micro.2</t>
  </si>
  <si>
    <t>k13c18</t>
  </si>
  <si>
    <t>Oligo</t>
  </si>
  <si>
    <t>Oligo.1</t>
  </si>
  <si>
    <t>k13c09</t>
  </si>
  <si>
    <t>Oligodendrocytes</t>
  </si>
  <si>
    <t>Oligo.2</t>
  </si>
  <si>
    <t>k13c06</t>
  </si>
  <si>
    <t>Oligo.3</t>
  </si>
  <si>
    <t>k13c23</t>
  </si>
  <si>
    <t>Oligo.4</t>
  </si>
  <si>
    <t>k13c12</t>
  </si>
  <si>
    <t>Oligodendrocyte precursor cells</t>
  </si>
  <si>
    <t>OPC</t>
  </si>
  <si>
    <t>OPC.1</t>
  </si>
  <si>
    <t>Oligo.5</t>
  </si>
  <si>
    <t>k13c15</t>
  </si>
  <si>
    <t>Glutamatergic neurons</t>
  </si>
  <si>
    <t>Excit</t>
  </si>
  <si>
    <t>neuron</t>
  </si>
  <si>
    <t>Excit.1</t>
  </si>
  <si>
    <t>Oligo.6</t>
  </si>
  <si>
    <t>k13c02</t>
  </si>
  <si>
    <t>Excit.2</t>
  </si>
  <si>
    <t>Oligo.7</t>
  </si>
  <si>
    <t>k13c13</t>
  </si>
  <si>
    <t>Excit.3</t>
  </si>
  <si>
    <t>Oligo.8</t>
  </si>
  <si>
    <t>k13c11</t>
  </si>
  <si>
    <t>Excit.4</t>
  </si>
  <si>
    <t>k13c21</t>
  </si>
  <si>
    <t>Excit.5</t>
  </si>
  <si>
    <t>VLMC</t>
  </si>
  <si>
    <t>k13c19</t>
  </si>
  <si>
    <t>Excit.6</t>
  </si>
  <si>
    <t>Excit.L6_IT_Car3</t>
  </si>
  <si>
    <t>k13c22</t>
  </si>
  <si>
    <t>Excit.7</t>
  </si>
  <si>
    <t>Excit.L6b</t>
  </si>
  <si>
    <t>k13c14</t>
  </si>
  <si>
    <t>Excit.8</t>
  </si>
  <si>
    <t>Excit.L6_CT</t>
  </si>
  <si>
    <t>k13c17</t>
  </si>
  <si>
    <t>Excit.9</t>
  </si>
  <si>
    <t>Excit.L5_6_NP</t>
  </si>
  <si>
    <t>k13c07</t>
  </si>
  <si>
    <t>GABAergic neurons</t>
  </si>
  <si>
    <t>Inhib</t>
  </si>
  <si>
    <t>Inhib.1</t>
  </si>
  <si>
    <t>Inhib.Pvalb</t>
  </si>
  <si>
    <t>k13c04</t>
  </si>
  <si>
    <t>Inhib.2</t>
  </si>
  <si>
    <t>Inhib.Lamp5_Lhx6</t>
  </si>
  <si>
    <t>k13c08</t>
  </si>
  <si>
    <t>Inhib.3</t>
  </si>
  <si>
    <t>Inhib.Sst</t>
  </si>
  <si>
    <t>k13c16</t>
  </si>
  <si>
    <t>Mature neurons</t>
  </si>
  <si>
    <t>Neu</t>
  </si>
  <si>
    <t>Neu.1</t>
  </si>
  <si>
    <t>Inhib.Chandelier</t>
  </si>
  <si>
    <t>k13c20</t>
  </si>
  <si>
    <t>Neu.2</t>
  </si>
  <si>
    <t>Inhib.Pax6</t>
  </si>
  <si>
    <t>match</t>
  </si>
  <si>
    <t>VLCM/ENDO</t>
  </si>
  <si>
    <t>L4/5</t>
  </si>
  <si>
    <t>L6</t>
  </si>
  <si>
    <t>Excit/Oligo</t>
  </si>
  <si>
    <t>type_pec</t>
  </si>
  <si>
    <t>scores_pec</t>
  </si>
  <si>
    <t>cell_type_fine_pec</t>
  </si>
  <si>
    <t>cell_type_broad_pec</t>
  </si>
  <si>
    <t>L2/3</t>
  </si>
  <si>
    <t>Excit/Inhib</t>
  </si>
  <si>
    <t>spatial clusters w/ Inhib</t>
  </si>
  <si>
    <t>Inhib/Oligo</t>
  </si>
  <si>
    <t>guess</t>
  </si>
  <si>
    <t>NOTE</t>
  </si>
  <si>
    <t>snDLPFC_PEC</t>
  </si>
  <si>
    <t>PC</t>
  </si>
  <si>
    <t>L2.3.IT</t>
  </si>
  <si>
    <t>L5.IT</t>
  </si>
  <si>
    <t>L6b</t>
  </si>
  <si>
    <t>L6.CT</t>
  </si>
  <si>
    <t>L2.3.IT*</t>
  </si>
  <si>
    <t>L5.IT/L2.3.IT/L5.6.NP*</t>
  </si>
  <si>
    <t>L5.6.NP</t>
  </si>
  <si>
    <t>Pax6</t>
  </si>
  <si>
    <t>Vip</t>
  </si>
  <si>
    <t>Pvalb</t>
  </si>
  <si>
    <t>Lamp5.Lhx6/Lamp5</t>
  </si>
  <si>
    <t>Sst</t>
  </si>
  <si>
    <t>Chandelier</t>
  </si>
  <si>
    <t>L2/3 * not the best Excit expression</t>
  </si>
  <si>
    <t>Excit.L5</t>
  </si>
  <si>
    <t>Inhib.Vip</t>
  </si>
  <si>
    <t>Excit.L4_5</t>
  </si>
  <si>
    <t>choird_plexis</t>
  </si>
  <si>
    <t>Excit.L2_5.1</t>
  </si>
  <si>
    <t>Excit.L2</t>
  </si>
  <si>
    <t>Excit.L2_5.2</t>
  </si>
  <si>
    <t>L4/5/6, ETV1 ~ L5a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</si>
</sst>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7F64-DEE8-C84A-AF9C-A45F7C1C524C}">
  <dimension ref="A1:N24"/>
  <sheetViews>
    <sheetView tabSelected="1" topLeftCell="A2" workbookViewId="0">
      <selection activeCell="O26" sqref="O26"/>
    </sheetView>
  </sheetViews>
  <sheetFormatPr baseColWidth="10" defaultRowHeight="16" x14ac:dyDescent="0.2"/>
  <cols>
    <col min="1" max="1" width="7" bestFit="1" customWidth="1"/>
    <col min="2" max="2" width="27.33203125" bestFit="1" customWidth="1"/>
    <col min="3" max="3" width="12.1640625" bestFit="1" customWidth="1"/>
    <col min="4" max="4" width="14" bestFit="1" customWidth="1"/>
    <col min="5" max="5" width="13.5" bestFit="1" customWidth="1"/>
    <col min="6" max="6" width="12.33203125" bestFit="1" customWidth="1"/>
    <col min="7" max="7" width="15.5" bestFit="1" customWidth="1"/>
    <col min="8" max="8" width="12.1640625" bestFit="1" customWidth="1"/>
    <col min="9" max="9" width="15.5" bestFit="1" customWidth="1"/>
    <col min="10" max="10" width="14" bestFit="1" customWidth="1"/>
    <col min="11" max="11" width="11.5" bestFit="1" customWidth="1"/>
    <col min="13" max="13" width="15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91</v>
      </c>
      <c r="I1" t="s">
        <v>92</v>
      </c>
      <c r="J1" t="s">
        <v>93</v>
      </c>
      <c r="K1" t="s">
        <v>85</v>
      </c>
      <c r="L1" t="s">
        <v>100</v>
      </c>
      <c r="M1" t="s">
        <v>98</v>
      </c>
      <c r="N1" t="s">
        <v>99</v>
      </c>
    </row>
    <row r="2" spans="1:14" ht="17" customHeight="1" x14ac:dyDescent="0.2">
      <c r="A2" t="s">
        <v>6</v>
      </c>
      <c r="B2" t="s">
        <v>7</v>
      </c>
      <c r="C2">
        <v>94498.527289999998</v>
      </c>
      <c r="D2" t="s">
        <v>8</v>
      </c>
      <c r="E2" t="s">
        <v>9</v>
      </c>
      <c r="F2" t="s">
        <v>10</v>
      </c>
      <c r="G2" t="s">
        <v>8</v>
      </c>
      <c r="H2">
        <v>516411.97841181501</v>
      </c>
      <c r="I2" t="s">
        <v>10</v>
      </c>
      <c r="J2" t="s">
        <v>8</v>
      </c>
      <c r="K2" t="b">
        <f>D2=J2</f>
        <v>1</v>
      </c>
      <c r="L2" t="s">
        <v>8</v>
      </c>
      <c r="M2" t="s">
        <v>10</v>
      </c>
    </row>
    <row r="3" spans="1:14" x14ac:dyDescent="0.2">
      <c r="A3" t="s">
        <v>11</v>
      </c>
      <c r="B3" t="s">
        <v>7</v>
      </c>
      <c r="C3">
        <v>46561.506809999999</v>
      </c>
      <c r="D3" t="s">
        <v>8</v>
      </c>
      <c r="E3" t="s">
        <v>9</v>
      </c>
      <c r="F3" t="s">
        <v>12</v>
      </c>
      <c r="G3" t="s">
        <v>8</v>
      </c>
      <c r="H3">
        <v>253943.78350913001</v>
      </c>
      <c r="I3" t="s">
        <v>12</v>
      </c>
      <c r="J3" t="s">
        <v>8</v>
      </c>
      <c r="K3" t="b">
        <f>D3=J3</f>
        <v>1</v>
      </c>
      <c r="L3" t="s">
        <v>8</v>
      </c>
      <c r="M3" t="s">
        <v>12</v>
      </c>
    </row>
    <row r="4" spans="1:14" x14ac:dyDescent="0.2">
      <c r="A4" t="s">
        <v>13</v>
      </c>
      <c r="B4" t="s">
        <v>14</v>
      </c>
      <c r="C4">
        <v>3363.1632599999998</v>
      </c>
      <c r="D4" t="s">
        <v>15</v>
      </c>
      <c r="E4" t="s">
        <v>9</v>
      </c>
      <c r="F4" t="s">
        <v>16</v>
      </c>
      <c r="G4" t="s">
        <v>53</v>
      </c>
      <c r="H4">
        <v>27984.934294903302</v>
      </c>
      <c r="I4" t="s">
        <v>53</v>
      </c>
      <c r="J4" t="s">
        <v>53</v>
      </c>
      <c r="K4" t="s">
        <v>86</v>
      </c>
      <c r="L4" t="s">
        <v>101</v>
      </c>
      <c r="M4" t="s">
        <v>15</v>
      </c>
    </row>
    <row r="5" spans="1:14" x14ac:dyDescent="0.2">
      <c r="A5" t="s">
        <v>37</v>
      </c>
      <c r="B5" t="s">
        <v>38</v>
      </c>
      <c r="C5">
        <v>46928.582920000001</v>
      </c>
      <c r="D5" t="s">
        <v>39</v>
      </c>
      <c r="E5" t="s">
        <v>40</v>
      </c>
      <c r="F5" t="s">
        <v>41</v>
      </c>
      <c r="G5" t="s">
        <v>23</v>
      </c>
      <c r="H5">
        <v>100317.098382357</v>
      </c>
      <c r="I5" t="s">
        <v>29</v>
      </c>
      <c r="J5" t="s">
        <v>23</v>
      </c>
      <c r="K5" t="s">
        <v>89</v>
      </c>
      <c r="L5" t="s">
        <v>102</v>
      </c>
      <c r="M5" t="s">
        <v>120</v>
      </c>
      <c r="N5" t="s">
        <v>115</v>
      </c>
    </row>
    <row r="6" spans="1:14" x14ac:dyDescent="0.2">
      <c r="A6" t="s">
        <v>43</v>
      </c>
      <c r="B6" t="s">
        <v>38</v>
      </c>
      <c r="C6">
        <v>11952.394829999999</v>
      </c>
      <c r="D6" t="s">
        <v>39</v>
      </c>
      <c r="E6" t="s">
        <v>40</v>
      </c>
      <c r="F6" t="s">
        <v>44</v>
      </c>
      <c r="G6" t="s">
        <v>56</v>
      </c>
      <c r="H6">
        <v>28117.8497458108</v>
      </c>
      <c r="I6" t="s">
        <v>56</v>
      </c>
      <c r="J6" t="s">
        <v>39</v>
      </c>
      <c r="K6" t="b">
        <f>D6=J6</f>
        <v>1</v>
      </c>
      <c r="L6" t="s">
        <v>103</v>
      </c>
      <c r="M6" t="s">
        <v>116</v>
      </c>
      <c r="N6" t="s">
        <v>87</v>
      </c>
    </row>
    <row r="7" spans="1:14" x14ac:dyDescent="0.2">
      <c r="A7" t="s">
        <v>46</v>
      </c>
      <c r="B7" t="s">
        <v>38</v>
      </c>
      <c r="C7">
        <v>12889.08418</v>
      </c>
      <c r="D7" t="s">
        <v>39</v>
      </c>
      <c r="E7" t="s">
        <v>40</v>
      </c>
      <c r="F7" t="s">
        <v>47</v>
      </c>
      <c r="G7" t="s">
        <v>23</v>
      </c>
      <c r="H7">
        <v>27678.884259296101</v>
      </c>
      <c r="I7" t="s">
        <v>36</v>
      </c>
      <c r="J7" t="s">
        <v>23</v>
      </c>
      <c r="K7" t="s">
        <v>89</v>
      </c>
      <c r="L7" t="s">
        <v>102</v>
      </c>
      <c r="M7" t="s">
        <v>121</v>
      </c>
      <c r="N7" t="s">
        <v>94</v>
      </c>
    </row>
    <row r="8" spans="1:14" x14ac:dyDescent="0.2">
      <c r="A8" t="s">
        <v>49</v>
      </c>
      <c r="B8" t="s">
        <v>38</v>
      </c>
      <c r="C8">
        <v>4623.0345580000003</v>
      </c>
      <c r="D8" t="s">
        <v>39</v>
      </c>
      <c r="E8" t="s">
        <v>40</v>
      </c>
      <c r="F8" t="s">
        <v>50</v>
      </c>
      <c r="G8" t="s">
        <v>59</v>
      </c>
      <c r="H8">
        <v>16068.214590309901</v>
      </c>
      <c r="I8" t="s">
        <v>59</v>
      </c>
      <c r="J8" t="s">
        <v>39</v>
      </c>
      <c r="K8" t="b">
        <f>D8=J8</f>
        <v>1</v>
      </c>
      <c r="L8" t="s">
        <v>104</v>
      </c>
      <c r="M8" t="s">
        <v>59</v>
      </c>
      <c r="N8" t="s">
        <v>88</v>
      </c>
    </row>
    <row r="9" spans="1:14" x14ac:dyDescent="0.2">
      <c r="A9" t="s">
        <v>51</v>
      </c>
      <c r="B9" t="s">
        <v>38</v>
      </c>
      <c r="C9">
        <v>3248.993226</v>
      </c>
      <c r="D9" t="s">
        <v>39</v>
      </c>
      <c r="E9" t="s">
        <v>40</v>
      </c>
      <c r="F9" t="s">
        <v>52</v>
      </c>
      <c r="G9" t="s">
        <v>62</v>
      </c>
      <c r="H9">
        <v>9707.6033777966004</v>
      </c>
      <c r="I9" t="s">
        <v>62</v>
      </c>
      <c r="J9" t="s">
        <v>39</v>
      </c>
      <c r="K9" t="b">
        <f>D9=J9</f>
        <v>1</v>
      </c>
      <c r="L9" t="s">
        <v>105</v>
      </c>
      <c r="M9" t="s">
        <v>62</v>
      </c>
      <c r="N9" t="s">
        <v>88</v>
      </c>
    </row>
    <row r="10" spans="1:14" x14ac:dyDescent="0.2">
      <c r="A10" t="s">
        <v>54</v>
      </c>
      <c r="B10" t="s">
        <v>38</v>
      </c>
      <c r="C10">
        <v>3332.042692</v>
      </c>
      <c r="D10" t="s">
        <v>39</v>
      </c>
      <c r="E10" t="s">
        <v>40</v>
      </c>
      <c r="F10" t="s">
        <v>55</v>
      </c>
      <c r="G10" t="s">
        <v>23</v>
      </c>
      <c r="H10">
        <v>7447.9189106358099</v>
      </c>
      <c r="I10" t="s">
        <v>42</v>
      </c>
      <c r="J10" t="s">
        <v>23</v>
      </c>
      <c r="K10" t="s">
        <v>89</v>
      </c>
      <c r="L10" t="s">
        <v>106</v>
      </c>
      <c r="M10" t="s">
        <v>122</v>
      </c>
    </row>
    <row r="11" spans="1:14" x14ac:dyDescent="0.2">
      <c r="A11" t="s">
        <v>57</v>
      </c>
      <c r="B11" t="s">
        <v>38</v>
      </c>
      <c r="C11">
        <v>1329.846665</v>
      </c>
      <c r="D11" t="s">
        <v>39</v>
      </c>
      <c r="E11" t="s">
        <v>40</v>
      </c>
      <c r="F11" t="s">
        <v>58</v>
      </c>
      <c r="G11" t="s">
        <v>23</v>
      </c>
      <c r="H11">
        <v>2998.1614067282499</v>
      </c>
      <c r="I11" t="s">
        <v>45</v>
      </c>
      <c r="J11" t="s">
        <v>23</v>
      </c>
      <c r="K11" t="s">
        <v>89</v>
      </c>
      <c r="L11" t="s">
        <v>107</v>
      </c>
      <c r="M11" t="s">
        <v>118</v>
      </c>
      <c r="N11" t="s">
        <v>87</v>
      </c>
    </row>
    <row r="12" spans="1:14" x14ac:dyDescent="0.2">
      <c r="A12" t="s">
        <v>60</v>
      </c>
      <c r="B12" t="s">
        <v>38</v>
      </c>
      <c r="C12">
        <v>761.70686350000005</v>
      </c>
      <c r="D12" t="s">
        <v>39</v>
      </c>
      <c r="E12" t="s">
        <v>40</v>
      </c>
      <c r="F12" t="s">
        <v>61</v>
      </c>
      <c r="G12" t="s">
        <v>65</v>
      </c>
      <c r="H12">
        <v>2572.62219382998</v>
      </c>
      <c r="I12" t="s">
        <v>65</v>
      </c>
      <c r="J12" t="s">
        <v>39</v>
      </c>
      <c r="K12" t="b">
        <f>D12=J12</f>
        <v>1</v>
      </c>
      <c r="L12" t="s">
        <v>108</v>
      </c>
      <c r="M12" t="s">
        <v>65</v>
      </c>
      <c r="N12" t="s">
        <v>123</v>
      </c>
    </row>
    <row r="13" spans="1:14" x14ac:dyDescent="0.2">
      <c r="A13" t="s">
        <v>63</v>
      </c>
      <c r="B13" t="s">
        <v>38</v>
      </c>
      <c r="C13">
        <v>549.06715540000005</v>
      </c>
      <c r="D13" t="s">
        <v>39</v>
      </c>
      <c r="E13" t="s">
        <v>40</v>
      </c>
      <c r="F13" t="s">
        <v>64</v>
      </c>
      <c r="G13" t="s">
        <v>84</v>
      </c>
      <c r="H13">
        <v>1718.38000592344</v>
      </c>
      <c r="I13" t="s">
        <v>84</v>
      </c>
      <c r="J13" t="s">
        <v>68</v>
      </c>
      <c r="K13" t="s">
        <v>95</v>
      </c>
      <c r="L13" t="s">
        <v>109</v>
      </c>
      <c r="M13" t="s">
        <v>84</v>
      </c>
      <c r="N13" t="s">
        <v>96</v>
      </c>
    </row>
    <row r="14" spans="1:14" x14ac:dyDescent="0.2">
      <c r="A14" t="s">
        <v>66</v>
      </c>
      <c r="B14" t="s">
        <v>67</v>
      </c>
      <c r="C14">
        <v>32834.18262</v>
      </c>
      <c r="D14" t="s">
        <v>68</v>
      </c>
      <c r="E14" t="s">
        <v>40</v>
      </c>
      <c r="F14" t="s">
        <v>69</v>
      </c>
      <c r="G14" t="s">
        <v>23</v>
      </c>
      <c r="H14">
        <v>80989.211091594305</v>
      </c>
      <c r="I14" t="s">
        <v>31</v>
      </c>
      <c r="J14" t="s">
        <v>23</v>
      </c>
      <c r="K14" t="s">
        <v>97</v>
      </c>
      <c r="L14" t="s">
        <v>110</v>
      </c>
      <c r="M14" t="s">
        <v>117</v>
      </c>
    </row>
    <row r="15" spans="1:14" x14ac:dyDescent="0.2">
      <c r="A15" t="s">
        <v>71</v>
      </c>
      <c r="B15" t="s">
        <v>67</v>
      </c>
      <c r="C15">
        <v>6631.9579649999996</v>
      </c>
      <c r="D15" t="s">
        <v>68</v>
      </c>
      <c r="E15" t="s">
        <v>40</v>
      </c>
      <c r="F15" t="s">
        <v>72</v>
      </c>
      <c r="G15" t="s">
        <v>70</v>
      </c>
      <c r="H15">
        <v>17302.614439252699</v>
      </c>
      <c r="I15" t="s">
        <v>70</v>
      </c>
      <c r="J15" t="s">
        <v>68</v>
      </c>
      <c r="K15" t="b">
        <f t="shared" ref="K15:K24" si="0">D15=J15</f>
        <v>1</v>
      </c>
      <c r="L15" t="s">
        <v>111</v>
      </c>
      <c r="M15" t="s">
        <v>70</v>
      </c>
    </row>
    <row r="16" spans="1:14" x14ac:dyDescent="0.2">
      <c r="A16" t="s">
        <v>74</v>
      </c>
      <c r="B16" t="s">
        <v>67</v>
      </c>
      <c r="C16">
        <v>7669.4140120000002</v>
      </c>
      <c r="D16" t="s">
        <v>68</v>
      </c>
      <c r="E16" t="s">
        <v>40</v>
      </c>
      <c r="F16" t="s">
        <v>75</v>
      </c>
      <c r="G16" t="s">
        <v>73</v>
      </c>
      <c r="H16">
        <v>24274.0317331033</v>
      </c>
      <c r="I16" t="s">
        <v>73</v>
      </c>
      <c r="J16" t="s">
        <v>68</v>
      </c>
      <c r="K16" t="b">
        <f t="shared" si="0"/>
        <v>1</v>
      </c>
      <c r="L16" t="s">
        <v>112</v>
      </c>
      <c r="M16" t="s">
        <v>73</v>
      </c>
    </row>
    <row r="17" spans="1:13" x14ac:dyDescent="0.2">
      <c r="A17" t="s">
        <v>19</v>
      </c>
      <c r="B17" t="s">
        <v>20</v>
      </c>
      <c r="C17">
        <v>50518.173239999996</v>
      </c>
      <c r="D17" t="s">
        <v>17</v>
      </c>
      <c r="E17" t="s">
        <v>9</v>
      </c>
      <c r="F17" t="s">
        <v>18</v>
      </c>
      <c r="G17" t="s">
        <v>17</v>
      </c>
      <c r="H17">
        <v>388191.51565604802</v>
      </c>
      <c r="I17" t="s">
        <v>18</v>
      </c>
      <c r="J17" t="s">
        <v>17</v>
      </c>
      <c r="K17" t="b">
        <f t="shared" si="0"/>
        <v>1</v>
      </c>
      <c r="L17" t="s">
        <v>17</v>
      </c>
      <c r="M17" t="s">
        <v>18</v>
      </c>
    </row>
    <row r="18" spans="1:13" x14ac:dyDescent="0.2">
      <c r="A18" t="s">
        <v>22</v>
      </c>
      <c r="B18" t="s">
        <v>20</v>
      </c>
      <c r="C18">
        <v>11996.52749</v>
      </c>
      <c r="D18" t="s">
        <v>17</v>
      </c>
      <c r="E18" t="s">
        <v>9</v>
      </c>
      <c r="F18" t="s">
        <v>21</v>
      </c>
      <c r="G18" t="s">
        <v>17</v>
      </c>
      <c r="H18">
        <v>96273.802398510103</v>
      </c>
      <c r="I18" t="s">
        <v>21</v>
      </c>
      <c r="J18" t="s">
        <v>17</v>
      </c>
      <c r="K18" t="b">
        <f t="shared" si="0"/>
        <v>1</v>
      </c>
      <c r="L18" t="s">
        <v>17</v>
      </c>
      <c r="M18" t="s">
        <v>21</v>
      </c>
    </row>
    <row r="19" spans="1:13" x14ac:dyDescent="0.2">
      <c r="A19" t="s">
        <v>77</v>
      </c>
      <c r="B19" t="s">
        <v>78</v>
      </c>
      <c r="C19">
        <v>3533.6350010000001</v>
      </c>
      <c r="D19" t="s">
        <v>79</v>
      </c>
      <c r="E19" t="s">
        <v>40</v>
      </c>
      <c r="F19" t="s">
        <v>80</v>
      </c>
      <c r="G19" t="s">
        <v>76</v>
      </c>
      <c r="H19">
        <v>11876.414974053199</v>
      </c>
      <c r="I19" t="s">
        <v>76</v>
      </c>
      <c r="J19" t="s">
        <v>68</v>
      </c>
      <c r="K19" t="b">
        <f t="shared" si="0"/>
        <v>0</v>
      </c>
      <c r="L19" t="s">
        <v>113</v>
      </c>
      <c r="M19" t="s">
        <v>76</v>
      </c>
    </row>
    <row r="20" spans="1:13" x14ac:dyDescent="0.2">
      <c r="A20" t="s">
        <v>82</v>
      </c>
      <c r="B20" t="s">
        <v>78</v>
      </c>
      <c r="C20">
        <v>1261.221855</v>
      </c>
      <c r="D20" t="s">
        <v>79</v>
      </c>
      <c r="E20" t="s">
        <v>40</v>
      </c>
      <c r="F20" t="s">
        <v>83</v>
      </c>
      <c r="G20" t="s">
        <v>81</v>
      </c>
      <c r="H20">
        <v>6318.0305069945398</v>
      </c>
      <c r="I20" t="s">
        <v>81</v>
      </c>
      <c r="J20" t="s">
        <v>68</v>
      </c>
      <c r="K20" t="b">
        <f t="shared" si="0"/>
        <v>0</v>
      </c>
      <c r="L20" t="s">
        <v>114</v>
      </c>
      <c r="M20" t="s">
        <v>81</v>
      </c>
    </row>
    <row r="21" spans="1:13" x14ac:dyDescent="0.2">
      <c r="A21" t="s">
        <v>25</v>
      </c>
      <c r="B21" t="s">
        <v>26</v>
      </c>
      <c r="C21">
        <v>159677.883</v>
      </c>
      <c r="D21" t="s">
        <v>23</v>
      </c>
      <c r="E21" t="s">
        <v>9</v>
      </c>
      <c r="F21" t="s">
        <v>24</v>
      </c>
      <c r="G21" t="s">
        <v>23</v>
      </c>
      <c r="H21">
        <v>1089890.18814854</v>
      </c>
      <c r="I21" t="s">
        <v>24</v>
      </c>
      <c r="J21" t="s">
        <v>23</v>
      </c>
      <c r="K21" t="b">
        <f t="shared" si="0"/>
        <v>1</v>
      </c>
      <c r="L21" t="s">
        <v>23</v>
      </c>
      <c r="M21" t="s">
        <v>24</v>
      </c>
    </row>
    <row r="22" spans="1:13" x14ac:dyDescent="0.2">
      <c r="A22" t="s">
        <v>28</v>
      </c>
      <c r="B22" t="s">
        <v>26</v>
      </c>
      <c r="C22">
        <v>114958.5073</v>
      </c>
      <c r="D22" t="s">
        <v>23</v>
      </c>
      <c r="E22" t="s">
        <v>9</v>
      </c>
      <c r="F22" t="s">
        <v>27</v>
      </c>
      <c r="G22" t="s">
        <v>23</v>
      </c>
      <c r="H22">
        <v>747160.65919662802</v>
      </c>
      <c r="I22" t="s">
        <v>27</v>
      </c>
      <c r="J22" t="s">
        <v>23</v>
      </c>
      <c r="K22" t="b">
        <f t="shared" si="0"/>
        <v>1</v>
      </c>
      <c r="L22" t="s">
        <v>23</v>
      </c>
      <c r="M22" t="s">
        <v>27</v>
      </c>
    </row>
    <row r="23" spans="1:13" x14ac:dyDescent="0.2">
      <c r="A23" t="s">
        <v>30</v>
      </c>
      <c r="B23" t="s">
        <v>26</v>
      </c>
      <c r="C23">
        <v>95.281679659999995</v>
      </c>
      <c r="D23" t="s">
        <v>23</v>
      </c>
      <c r="E23" t="s">
        <v>9</v>
      </c>
      <c r="F23" t="s">
        <v>29</v>
      </c>
      <c r="G23" t="s">
        <v>23</v>
      </c>
      <c r="H23">
        <v>969.73418498386297</v>
      </c>
      <c r="I23" t="s">
        <v>48</v>
      </c>
      <c r="J23" t="s">
        <v>23</v>
      </c>
      <c r="K23" t="b">
        <f t="shared" si="0"/>
        <v>1</v>
      </c>
      <c r="M23" t="s">
        <v>119</v>
      </c>
    </row>
    <row r="24" spans="1:13" x14ac:dyDescent="0.2">
      <c r="A24" t="s">
        <v>32</v>
      </c>
      <c r="B24" t="s">
        <v>33</v>
      </c>
      <c r="C24">
        <v>116665.7151</v>
      </c>
      <c r="D24" t="s">
        <v>34</v>
      </c>
      <c r="E24" t="s">
        <v>9</v>
      </c>
      <c r="F24" t="s">
        <v>35</v>
      </c>
      <c r="G24" t="s">
        <v>34</v>
      </c>
      <c r="H24">
        <v>460311.40919420402</v>
      </c>
      <c r="I24" t="s">
        <v>34</v>
      </c>
      <c r="J24" t="s">
        <v>34</v>
      </c>
      <c r="K24" t="b">
        <f t="shared" si="0"/>
        <v>1</v>
      </c>
      <c r="L24" t="s">
        <v>34</v>
      </c>
      <c r="M24" t="s">
        <v>34</v>
      </c>
    </row>
  </sheetData>
  <autoFilter ref="A1:N1" xr:uid="{FEA37F64-DEE8-C84A-AF9C-A45F7C1C524C}">
    <sortState xmlns:xlrd2="http://schemas.microsoft.com/office/spreadsheetml/2017/richdata2" ref="A2:N24">
      <sortCondition ref="F1:F24"/>
    </sortState>
  </autoFilter>
  <phoneticPr fontId="18" type="noConversion"/>
  <conditionalFormatting sqref="K2:M21 N5:N8 N10 N12:N13 K22:L22 M22:M23 K23 K24:M24">
    <cfRule type="cellIs" dxfId="0" priority="1" operator="equal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sctype_final-NOTES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2025-03-06T15:55:00Z</dcterms:created>
  <dcterms:modified xsi:type="dcterms:W3CDTF">2025-04-03T20:55:40Z</dcterms:modified>
</cp:coreProperties>
</file>