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0"/>
  <workbookPr defaultThemeVersion="124226"/>
  <mc:AlternateContent xmlns:mc="http://schemas.openxmlformats.org/markup-compatibility/2006">
    <mc:Choice Requires="x15">
      <x15ac:absPath xmlns:x15ac="http://schemas.microsoft.com/office/spreadsheetml/2010/11/ac" url="https://lieberinstitute-my.sharepoint.com/personal/louise_huuki_libd_org/Documents/LIBD_code/LFF_spatial_ERC/processed-data/04_snRNA-seq/27.5_sn_neuron_check/"/>
    </mc:Choice>
  </mc:AlternateContent>
  <xr:revisionPtr revIDLastSave="1" documentId="13_ncr:1_{29615A01-63BA-C041-9294-ED5917662BBA}" xr6:coauthVersionLast="47" xr6:coauthVersionMax="47" xr10:uidLastSave="{CE8334E8-8E38-7446-ABA9-F128B376F6C2}"/>
  <bookViews>
    <workbookView xWindow="60" yWindow="660" windowWidth="30240" windowHeight="17580" xr2:uid="{00000000-000D-0000-FFFF-FFFF00000000}"/>
  </bookViews>
  <sheets>
    <sheet name="Sheet1" sheetId="1" r:id="rId1"/>
  </sheets>
  <definedNames>
    <definedName name="_xlnm._FilterDatabase" localSheetId="0" hidden="1">Sheet1!$A$1:$Y$1</definedName>
  </definedNames>
  <calcPr calcId="124519"/>
</workbook>
</file>

<file path=xl/sharedStrings.xml><?xml version="1.0" encoding="utf-8"?>
<sst xmlns="http://schemas.openxmlformats.org/spreadsheetml/2006/main" count="245" uniqueCount="202">
  <si>
    <t>cell_type_anno</t>
  </si>
  <si>
    <t>cell_type_class</t>
  </si>
  <si>
    <t>cell_type_broad</t>
  </si>
  <si>
    <t>snn_kOpt</t>
  </si>
  <si>
    <t>n</t>
  </si>
  <si>
    <t>prop</t>
  </si>
  <si>
    <t>median_sum</t>
  </si>
  <si>
    <t>median_detected</t>
  </si>
  <si>
    <t>median_Mito_percent</t>
  </si>
  <si>
    <t>median_scDblFinder.score</t>
  </si>
  <si>
    <t>passALL_metricQC</t>
  </si>
  <si>
    <t>spatialERC</t>
  </si>
  <si>
    <t>snDLPFC_PEC</t>
  </si>
  <si>
    <t>sestan_EC</t>
  </si>
  <si>
    <t>spatialHPC</t>
  </si>
  <si>
    <t>xSpD</t>
  </si>
  <si>
    <t>spatial notes</t>
  </si>
  <si>
    <t>enrichment_genes</t>
  </si>
  <si>
    <t>MeanRatio_genes</t>
  </si>
  <si>
    <t>claude notes</t>
  </si>
  <si>
    <t>my notes</t>
  </si>
  <si>
    <t>cell_type_update</t>
  </si>
  <si>
    <t>name_updated</t>
  </si>
  <si>
    <t>notable_enrich_global</t>
  </si>
  <si>
    <t>notable_MeanRatio_global</t>
  </si>
  <si>
    <t>Excit.L2</t>
  </si>
  <si>
    <t>Excit.L2_5.1</t>
  </si>
  <si>
    <t>Excit.L2_5.2</t>
  </si>
  <si>
    <t>Excit.L5.1</t>
  </si>
  <si>
    <t>Excit.L5.2</t>
  </si>
  <si>
    <t>Excit.L5_6_NP</t>
  </si>
  <si>
    <t>Excit.L6_CT</t>
  </si>
  <si>
    <t>Excit.L6b</t>
  </si>
  <si>
    <t>Inhib.Chandelier</t>
  </si>
  <si>
    <t>Inhib.Lamp5_Lhx6</t>
  </si>
  <si>
    <t>Inhib.Pax6</t>
  </si>
  <si>
    <t>Inhib.Pvalb</t>
  </si>
  <si>
    <t>Inhib.Sst</t>
  </si>
  <si>
    <t>Inhib.Vip</t>
  </si>
  <si>
    <t>neuron</t>
  </si>
  <si>
    <t>Excit</t>
  </si>
  <si>
    <t>Inhib</t>
  </si>
  <si>
    <t>k13c13</t>
  </si>
  <si>
    <t>k13c15</t>
  </si>
  <si>
    <t>k13c19</t>
  </si>
  <si>
    <t>k13c02</t>
  </si>
  <si>
    <t>k13c22</t>
  </si>
  <si>
    <t>k13c14</t>
  </si>
  <si>
    <t>k13c21</t>
  </si>
  <si>
    <t>k13c11</t>
  </si>
  <si>
    <t>k13c20</t>
  </si>
  <si>
    <t>k13c08</t>
  </si>
  <si>
    <t>k13c17</t>
  </si>
  <si>
    <t>k13c04</t>
  </si>
  <si>
    <t>k13c16</t>
  </si>
  <si>
    <t>k13c07</t>
  </si>
  <si>
    <t>vL2/vL5a</t>
  </si>
  <si>
    <t>vL2/vL5a/vL5b</t>
  </si>
  <si>
    <t>vL5a</t>
  </si>
  <si>
    <t>vL5b/vL5a/vL2</t>
  </si>
  <si>
    <t>vL5b</t>
  </si>
  <si>
    <t>vL5b/vL6</t>
  </si>
  <si>
    <t>vL6/vL5b</t>
  </si>
  <si>
    <t>vInhib</t>
  </si>
  <si>
    <t>L2.3.IT</t>
  </si>
  <si>
    <t>L5.IT</t>
  </si>
  <si>
    <t>L5.IT/L2.3.IT*</t>
  </si>
  <si>
    <t>L5.6.NP</t>
  </si>
  <si>
    <t>L6.CT</t>
  </si>
  <si>
    <t>L6b</t>
  </si>
  <si>
    <t>Chandelier</t>
  </si>
  <si>
    <t>Lamp5.Lhx6</t>
  </si>
  <si>
    <t>Pax6</t>
  </si>
  <si>
    <t>Pvalb</t>
  </si>
  <si>
    <t>Sst</t>
  </si>
  <si>
    <t>Vip</t>
  </si>
  <si>
    <t>EC.L2.CUX2.CALB1</t>
  </si>
  <si>
    <t>EC.L3.PCP4.ADARB2/EC.L2.RELN.BMPR1B</t>
  </si>
  <si>
    <t>EC.L5.RORB.TLL1</t>
  </si>
  <si>
    <t>EC.L2.RELN.BCL11B</t>
  </si>
  <si>
    <t>EC.L56.TLE4.NXPH2</t>
  </si>
  <si>
    <t>EC.L6.TLE4.SULF1</t>
  </si>
  <si>
    <t>EC.L6b.TLE4.CCN2</t>
  </si>
  <si>
    <t>InN.PVALB.PLEKHH2</t>
  </si>
  <si>
    <t>InN.LAMP5.CHST9/InN.LAMP5.KIT</t>
  </si>
  <si>
    <t>InN.NR2F2.SLC17A8</t>
  </si>
  <si>
    <t>InN.PVALB.PLCL1/InN.PVALB.MEPE</t>
  </si>
  <si>
    <t>InN.SST.OTOF/InN.SST.EPB41L4A</t>
  </si>
  <si>
    <t>InN.VIP.ABI3BP/InN.VIP.NOX4/InN.VIP.SCTR/InN.VIP.CHRNA2</t>
  </si>
  <si>
    <t>L2.3.3</t>
  </si>
  <si>
    <t>L2.3.2</t>
  </si>
  <si>
    <t>L5.1</t>
  </si>
  <si>
    <t>L2.3.4</t>
  </si>
  <si>
    <t>Sub.2</t>
  </si>
  <si>
    <t>L6.2</t>
  </si>
  <si>
    <t>C1QL1</t>
  </si>
  <si>
    <t>LAMP5.MGE/LAMP5.CGE</t>
  </si>
  <si>
    <t>HTR3A</t>
  </si>
  <si>
    <t>PV.FS</t>
  </si>
  <si>
    <t>SST</t>
  </si>
  <si>
    <t>VIP</t>
  </si>
  <si>
    <t>xL2 (60%), xL5 (20%)</t>
  </si>
  <si>
    <t>xL2 (22%), xLD_glia (20%), xL5 (25%)</t>
  </si>
  <si>
    <t>xL5 (72%)</t>
  </si>
  <si>
    <t>xL5 (69%)</t>
  </si>
  <si>
    <t>xL2 (30%), xL5 (38%)</t>
  </si>
  <si>
    <t>xL5 (57%), xL6 (23%)</t>
  </si>
  <si>
    <t>xL6 (78%)</t>
  </si>
  <si>
    <t>xL2 (20%), xL5 (33%)</t>
  </si>
  <si>
    <t>xL5 (19%)</t>
  </si>
  <si>
    <t>xL1_inhib (39%)</t>
  </si>
  <si>
    <t>xL5 (48%)</t>
  </si>
  <si>
    <t>xL5 (36%)</t>
  </si>
  <si>
    <t>xL2 (25%), xL1_inhib (35%)</t>
  </si>
  <si>
    <t>L2</t>
  </si>
  <si>
    <t>L2_5</t>
  </si>
  <si>
    <t>L5a</t>
  </si>
  <si>
    <t>L5</t>
  </si>
  <si>
    <t>MOB1B, PUM3, RPS6KA6, TENT2, TTLL5, RFX3, DTNBP1, EPB41L4B, CDH9</t>
  </si>
  <si>
    <t>PABPN1, PLP1, CD9, BCAS1, TXNIP, APCDD1, ADAM33, OPALIN, SRRM2, EBF1</t>
  </si>
  <si>
    <t>AGPAT5, CDK5RAP2, MCOLN2, TGFBI, DGKE, CDCA7, INMT, UBL3</t>
  </si>
  <si>
    <t>GCNT1, PIK3R1, CASC15, PRUNE2, LINC02196</t>
  </si>
  <si>
    <t>HOTAIRM1, TANK, ARID1B, LINC02752, HMCN2, DSC3, GALNT5, LINC02384, SETD3, CHRNA1</t>
  </si>
  <si>
    <t>CD200R1L, LINC02042, CCDC80, HMGA2, GNAT3, FAM89A, GPRIN2, NGLY1, CRYM, LPIN3</t>
  </si>
  <si>
    <t>MAP2K1, CDON, CEP70, JAM3, CPE, KSR2, RAPGEF4, CCDC171, TNFRSF21</t>
  </si>
  <si>
    <t>XKR4, NXPH4, FGF11, CPLX3, RNF220, CDH24, F2R, LINC01735, HSF2BP, SLC1A2</t>
  </si>
  <si>
    <t>PLEKHA1, TPD52, NACC2, FRMPD4, MDGA2, SORL1, PLEKHD1, IBSP, B3GALT1, PLEKHH2</t>
  </si>
  <si>
    <t>CASP4LP, IL12A, ADAM22, ZNF648, PLEKHO1, ATP8A2, ABI1, CTD-2350J17.1, FGF13</t>
  </si>
  <si>
    <t>CILP2, ARL5A, PKN2, LINC01162, CD99P1, GLUL, YJEFN3, TBL1XR1, TSPAN5, NTF3</t>
  </si>
  <si>
    <t>MEPE, FGF12, MYBPC1, SLC26A4, AUH, SRRM4, ETV6</t>
  </si>
  <si>
    <t>KCNJ5, IQSEC1, ITFG1, BCL11A, FAM89A, PALM2AKAP2, EPB41L2, PAN3, SDR16C5, LINC02133</t>
  </si>
  <si>
    <t>CHRNA2, SLC6A2, VIP, TDO2, NPR3, CBLN1</t>
  </si>
  <si>
    <t>LINC01090, CALB1, LINC02073, LINC02669, NRAD1, MET</t>
  </si>
  <si>
    <t>MT-ND1, MT-CYB, MT-ND5, MT-ND2, PABPN1, CFLAR, GRIN1, ACAP3</t>
  </si>
  <si>
    <t>TGFBI, MCOLN2, DNAI3, PAWR, ADGRG2, NPNT, MCOLN3, CRHR2, LINC01886</t>
  </si>
  <si>
    <t>RORB, PTGFRN, TEX41, TDO2, ID2, MARCHF3, EPHB6, CEMIP</t>
  </si>
  <si>
    <t>HMCN2, GPC5-AS1, ZNF536, GPC5-AS2, LINC02752, TMEM45B, GPR156, DSC3, PARD3B</t>
  </si>
  <si>
    <t>CCDC80, FAM89A, GPRIN2, NXPH2, MYOCD, ERG, LHFPL3, EPS8L2, PLPP3</t>
  </si>
  <si>
    <t>CAV1, TSPAN18, KIT, SULF1, P2RY6, GPR26, LINC02263, SULF2, NPFFR2</t>
  </si>
  <si>
    <t>CDH24, CPLX3, OLFML2B, GRAMD2B, EPHA8, MCTP2, ROS1, DPP4, EPB41L4A</t>
  </si>
  <si>
    <t>PLEKHH2, GRIN2C, PLEKHD1, SCUBE3, LINC02720, NOG, COL15A1, MME, LINC01837</t>
  </si>
  <si>
    <t>CHST9, LINC01344, LAMP5, ARHGAP31, EYA4, PDGFD, SV2C, CA2, PDGFRA</t>
  </si>
  <si>
    <t>DOCK8, LINC01162, HTR3A, CD99, SLCO1C1, FKBP5, SYT6, LINC01416</t>
  </si>
  <si>
    <t>HHATL, KCNK13, RNF144B, FILIP1, MIR34AHG, HGF, STRIP2, DYNLT5, SLC26A4, PRKG1-AS1</t>
  </si>
  <si>
    <t>SST, TMCC3, FAM89A, KLF5, COL19A1, ITGA1, RNF152, IPCEF1, RSPO3, TRHDE-AS1</t>
  </si>
  <si>
    <t>CALB2, ADRA1B, LAMA3, FAT4, FIGN, ARPP21, CCNG2, PROX1-AS1, LRFN2</t>
  </si>
  <si>
    <t>CALB1+ pyramidal population (Sestan EC.L2.CUX2.CALB1), matching the broadly-projecting, partly-local-circuit L2 type described by Witter et al. 2017 and Nilssen et al. 2019. CALB1 and CUX2 are both confirmed markers. Spatial registration (Visium vL2/vL5a; Xenium xL2 60%) and QC metrics (highest median library depth of any Excit cluster, low mito, low doublet) are clean throughout. The best-supported superficial call in the dataset.</t>
  </si>
  <si>
    <t>A large (n=8,671, ~7% of all nuclei), molecularly diffuse excitatory population sharing its Sestan reference label with Excit.L2 (EC.L2.CUX2.CALB1) and sitting as its sister branch in the hierarchical clustering. Global enrichment markers (NEUROD1, LINC00507 -- an IT/excitatory-neuron marker per Price et al. 2023, Mol Psychiatry, DOI: https://doi.org/10.1038/s41380-023-01970-y) confirm genuine excitatory identity, ruling out glial contamination. However, global MeanRatio values for this cluster are the lowest of any cell type in the dataset (~1.02-1.07x against its single nearest competitor, versus 2-10x+ typical elsewhere) -- it has essentially no gene that distinguishes it sharply from any one other population. Best understood as a broad, weakly-differentiated pool within the L2 lineage rather than a distinct molecular subtype.</t>
  </si>
  <si>
    <t>RORB+ population (Sestan EC.L5.RORB.TLL1), the marker Leng et al. 2021 tie to the selectively vulnerable excitatory population in caudal EC. THEMIS is an equally clean, near-exclusive second marker for this cluster. Global enrichment/MeanRatio signatures beyond RORB/THEMIS are mostly uncharacterized loci. QC is clean throughout (highest RORB specificity and cleanest library metrics among the deep clusters). Renamed to Excit.L5_RORB.</t>
  </si>
  <si>
    <t>RELN+ population, the highest RELN expression of any cluster in the dataset (confirmed directly in the marker dotplot), alongside CUX2, ADARB2, and BMPR1B -- the same molecular module as Excit.L5_RELN, of which this is the closest global transcriptomic neighbor. Also carries BCL11B (human symbol for Ctip2) and CHRNA1, a gene Franjic et al. 2022 otherwise associate with hippocampal (not EC) excitatory specificity -- confirmed again here in the global (all-cell-type) enrichment test, making it unlikely to be incidental. Renamed to Excit.L2_5.RELN, matching its spatial registration (split between xL2/xL5) and its RELN-lineage identity. Rare (n=241).</t>
  </si>
  <si>
    <t>NXPH2+/TSHZ2+ population (Sestan EC.L56.TLE4.NXPH2), matching the near-projecting (NP) deep-layer subtype seen in cross-species cortical taxonomies. Also co-expresses ETV1 and BCL11B (Ctip2) more strongly than any other cluster -- the two rodent transcription factors Nilssen et al. 2019 associate with the distinct Va (output) and Vb (feedback) Layer V sublayers, here appearing together rather than split, suggesting a hybrid deep identity spanning the L5/L6 boundary. Global enrichment surfaces several atypical, non-neuronal-sounding genes (FSHR, MC4R, GNAT3, MYOCD) alongside its doublet score (0.0475, 10-30x every other Excit cluster) and small size (n=152) -- worth a QC sanity check given how much the NP identity currently rests on this one cluster.</t>
  </si>
  <si>
    <t>SULF1+ population (Sestan EC.L6.TLE4.SULF1). FOXP2 and SYT6, the classic neocortical corticothalamic markers, are both present but shared with Excit.L5_6_NP and Excit.L6b rather than exclusive to this cluster, consistent with all three forming one deep transcriptomic clade. Global enrichment markers beyond SULF1 are largely uncharacterized. Spatial registration is clean (xL6, 78%).</t>
  </si>
  <si>
    <t>CPLX3+/CCN2+ population -- the classic subplate/Layer 6b marker pair (Hoerder-Suabedissen &amp; Molnar 2012), independently recovered here via two different statistics and matching the Sestan label (EC.L6b.TLE4.CCN2). The best-supported deep-layer call in the dataset. Global markers add further layer-associated genes (FIBCD1, SLITRK6, EPHA8, NXPH4) consistent with a real, distinct deep identity. Spatial registration is clean (xL6, 78%).</t>
  </si>
  <si>
    <t>PVALB+ axo-axonic (chandelier) interneuron population (Sestan InN.PVALB.PLEKHH2), with PVALB and the neprilysin gene MME both confirmed in the global enrichment test. Elevated mito% and doublet score most likely reflect the genuinely high energy demands of fast-spiking PV+ interneurons (Inan et al. 2016, Neurobiol Dis, DOI: https://doi.org/10.1016/j.nbd.2016.04.004) rather than a technical concern, though the small cluster size (n=303) still warrants a routine QC glance.</t>
  </si>
  <si>
    <t>MGE-derived Lhx6+ population that atypically expresses Lamp5, distinct from the more common CGE-derived Lamp5 lineage. NKX2-1 -- the master developmental transcription factor defining MGE-derived interneurons -- is this cluster's single strongest global marker (stat 40.6), a strong independent confirmation of the MGE lineage implied by its name. LAMP5 itself is also directly confirmed (MeanRatio). One minor admixture flag: PDGFRA (a canonical OPC marker) appears in its narrower top-10 list, though overall cluster statistics are strong.</t>
  </si>
  <si>
    <t>5HT3aR-expressing interneuron population -- the VIP-negative half of the classic PVALB/SST/5HT3aR tripartite interneuron division (Rudy et al.), and the population Nilssen et al. 2019 tie to disynaptic inhibition of CALB1+ Layer II pyramidal cells. HTR3A is confirmed as a top marker in both the global enrichment and global MeanRatio tests. SP8, a genuine CGE-lineage transcription factor, adds further confirmation of CGE origin. This remains the weakest-supported of the six Inhib subtypes -- its own within-Excit top genes still include GLUL (a classic astrocyte gene), suggesting some admixture -- but HTR3A is a substantially better-earned name than the original Pax6.</t>
  </si>
  <si>
    <t>Non-chandelier PVALB+ (basket-cell-type) population (Sestan InN.PVALB.PLCL1/InN.PVALB.MEPE), cleanly distinct from Inhib.Chandelier. PVALB and MEPE both directly confirmed in the global marker tests.</t>
  </si>
  <si>
    <t>Classic MGE-derived SST+ (Martinotti-type) population (Sestan InN.SST.OTOF/InN.SST.EPB41L4A). SST itself is the top global marker by a wide margin. TAC3 and PNOC, both documented neuropeptides in specific SST+ interneuron subsets, are also present -- worth noting as a possible axis of finer heterogeneity if higher resolution is ever explored.</t>
  </si>
  <si>
    <t>CGE-derived VIP+ disinhibitory interneuron population. VIP and CALB2 (calretinin, classically co-expressed with VIP in cortical interneurons) are both confirmed as top global markers, alongside SP8 and HTR3A -- the latter shared with Inhib.Htr3a, consistent with both populations being the VIP-positive and VIP-negative halves of the same 5HT3aR+ interneuron class. Sestan resolves four VIP sub-populations collapsed into this one cluster -- worth revisiting at higher resolution if finer VIP heterogeneity matters for the study.</t>
  </si>
  <si>
    <t>clean L5 signal conflicts with RELN  label - high RELN expression - not as high as ExcitL5.2</t>
  </si>
  <si>
    <t>low expression of ETV1</t>
  </si>
  <si>
    <t>high expression of BCL11B, highest expression of RELN</t>
  </si>
  <si>
    <t>Excit.L5_RELN</t>
  </si>
  <si>
    <t>Excit.L5_RORB</t>
  </si>
  <si>
    <t>Excit.L2_5.RELN</t>
  </si>
  <si>
    <t>Inhib.LAMP5_LHX6</t>
  </si>
  <si>
    <t>Inhib.HTR3A</t>
  </si>
  <si>
    <t>Inhib.PVALB</t>
  </si>
  <si>
    <t>Inhib.SST</t>
  </si>
  <si>
    <t>Inhib.VIP</t>
  </si>
  <si>
    <t>MS4A8, P2RX2, DCSTAMP, MUC19, C6orf141</t>
  </si>
  <si>
    <t>LINC02248, MS4A8, MUC19, DNAJC5G, LINC01484</t>
  </si>
  <si>
    <t>CRHR2, AVP, GDF7, LECT2, OR8D4</t>
  </si>
  <si>
    <t>LINC00343, LINC02143, (otherwise predominantly uncharacterized ENSG loci)</t>
  </si>
  <si>
    <t>CHRNA1, DSC3, BARX2, OR8D4, CFAP61-AS1</t>
  </si>
  <si>
    <t>CD200R1L, FSHR, MC4R, GNAT3, MYOCD</t>
  </si>
  <si>
    <t>IL31RA, CIDEA, LINC02263, LINC01720, CLPSL1</t>
  </si>
  <si>
    <t>FIBCD1, SLITRK6, ROS1, EPHA8, NXPH4</t>
  </si>
  <si>
    <t>MME, PVALB, NOG, PTHLH, IBSP</t>
  </si>
  <si>
    <t>NKX2-1, GRPR, CPLX3, AVPR1A, SFTA3</t>
  </si>
  <si>
    <t>HTR3A, SP8, SCGN, CILP2, NTF3</t>
  </si>
  <si>
    <t>PVALB, MEPE, WNT16, LRRC38, AKAIN1</t>
  </si>
  <si>
    <t>SST, TAC3, NMU, PNOC, HTR1D</t>
  </si>
  <si>
    <t>VIP, CALB2, CHRNA2, SP8, HTR3A</t>
  </si>
  <si>
    <t>LINC01090, LINC02669, STRIP2, SH3RF2, GLP2R</t>
  </si>
  <si>
    <t>MT-CYB, MT-ND1, KCNQ2, GRIN1, CHD5 (all ratios ~1.02-1.07x -- essentially no specificity)</t>
  </si>
  <si>
    <t>CRHR2, DNAI3, ADGRG2, BDKRB2, MCOLN2</t>
  </si>
  <si>
    <t>TDO2, HPCA, OPN3, SLC6A7, CPNE9</t>
  </si>
  <si>
    <t>HMCN2, DSC3, ABCA12, GPR156, BARX2</t>
  </si>
  <si>
    <t>MYOCD, GPRIN2, DAPL1, EPS8L2, CD36</t>
  </si>
  <si>
    <t>GPR26, NPFFR2, KL, PAPPA2, MAS1</t>
  </si>
  <si>
    <t>ROS1, EPHA8, DPP4, MCTP2, CDH24</t>
  </si>
  <si>
    <t>PLEKHD1, MME, SCUBE3, TAFA4, GPR149</t>
  </si>
  <si>
    <t>EYA4, SV2C, PDGFD, SFRP1, LAMP5</t>
  </si>
  <si>
    <t>HTR3A, HGFAC, SLC17A8, SP8, CNR1</t>
  </si>
  <si>
    <t>HGF, MYO5B, TAC1, LGI2, ECM1</t>
  </si>
  <si>
    <t>SST, DKK2, PNOC, KLF5, EPHB6</t>
  </si>
  <si>
    <t>CALB2, ADRA1B, CCNG2, PROX1, DLX1</t>
  </si>
  <si>
    <t xml:space="preserve">passed strict QC filtering </t>
  </si>
  <si>
    <t>Excit.L2_5.diffuse</t>
  </si>
  <si>
    <t xml:space="preserve">RELN+ population (also CUX2+, ADARB2+, BMPR1B+), part of the classic Layer II stellate/fan-cell, DG-projecting (perforant path) lineage described by Nilssen et al. 2019 and Witter et al. 2017. Spatial registration in both Visium (vL5a) and Xenium (xL5, 72%) places it deeper than that molecular identity alone would predict; it is also the closest global transcriptomic neighbor of Excit.L5.2 (their top marker genes reciprocally rank each other as nearest competitor), consistent with their shared position as sister branches in the dendrogram. </t>
  </si>
  <si>
    <t>SR ERC splits, but xenium and Sestan lean L2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</si>
</sst>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5">
    <xf numFmtId="0" fontId="0" fillId="0" borderId="0" xfId="0"/>
    <xf numFmtId="9" fontId="0" fillId="0" borderId="0" xfId="1" applyFont="1" applyAlignment="1">
      <alignment horizontal="center"/>
    </xf>
    <xf numFmtId="164" fontId="0" fillId="0" borderId="0" xfId="1" applyNumberFormat="1" applyFont="1" applyAlignment="1">
      <alignment horizontal="center"/>
    </xf>
    <xf numFmtId="0" fontId="2" fillId="0" borderId="0" xfId="0" applyFont="1"/>
    <xf numFmtId="0" fontId="0" fillId="0" borderId="0" xfId="0" applyAlignment="1">
      <alignment wrapText="1"/>
    </xf>
  </cellXfs>
  <cellStyles count="2">
    <cellStyle name="Normal" xfId="0" builtinId="0"/>
    <cellStyle name="Percent" xfId="1" builtinId="5"/>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5"/>
  <sheetViews>
    <sheetView tabSelected="1" workbookViewId="0">
      <selection sqref="A1:XFD1"/>
    </sheetView>
  </sheetViews>
  <sheetFormatPr baseColWidth="10" defaultColWidth="8.83203125" defaultRowHeight="15" x14ac:dyDescent="0.2"/>
  <cols>
    <col min="1" max="1" width="15.33203125" bestFit="1" customWidth="1"/>
    <col min="5" max="5" width="5.1640625" bestFit="1" customWidth="1"/>
    <col min="6" max="6" width="5" style="2" bestFit="1" customWidth="1"/>
    <col min="7" max="7" width="10.83203125" bestFit="1" customWidth="1"/>
    <col min="9" max="9" width="10.83203125" style="1" customWidth="1"/>
    <col min="10" max="10" width="8.83203125" style="1"/>
    <col min="12" max="12" width="12.33203125" bestFit="1" customWidth="1"/>
    <col min="14" max="14" width="19.1640625" style="3" customWidth="1"/>
    <col min="16" max="16" width="19.83203125" customWidth="1"/>
    <col min="18" max="18" width="15.5" customWidth="1"/>
    <col min="19" max="19" width="15.33203125" customWidth="1"/>
    <col min="20" max="20" width="93.5" style="4" customWidth="1"/>
    <col min="21" max="21" width="27.1640625" customWidth="1"/>
    <col min="22" max="22" width="15.83203125" bestFit="1" customWidth="1"/>
    <col min="23" max="23" width="12.5" bestFit="1" customWidth="1"/>
    <col min="24" max="24" width="61.5" bestFit="1" customWidth="1"/>
  </cols>
  <sheetData>
    <row r="1" spans="1:25" ht="16" x14ac:dyDescent="0.2">
      <c r="A1" t="s">
        <v>0</v>
      </c>
      <c r="B1" t="s">
        <v>1</v>
      </c>
      <c r="C1" t="s">
        <v>2</v>
      </c>
      <c r="D1" t="s">
        <v>3</v>
      </c>
      <c r="E1" t="s">
        <v>4</v>
      </c>
      <c r="F1" s="2" t="s">
        <v>5</v>
      </c>
      <c r="G1" t="s">
        <v>6</v>
      </c>
      <c r="H1" t="s">
        <v>7</v>
      </c>
      <c r="I1" s="1" t="s">
        <v>8</v>
      </c>
      <c r="J1" s="1" t="s">
        <v>9</v>
      </c>
      <c r="K1" t="s">
        <v>10</v>
      </c>
      <c r="L1" s="3" t="s">
        <v>11</v>
      </c>
      <c r="M1" t="s">
        <v>12</v>
      </c>
      <c r="N1" s="3" t="s">
        <v>13</v>
      </c>
      <c r="O1" t="s">
        <v>14</v>
      </c>
      <c r="P1" t="s">
        <v>15</v>
      </c>
      <c r="Q1" t="s">
        <v>16</v>
      </c>
      <c r="R1" t="s">
        <v>17</v>
      </c>
      <c r="S1" t="s">
        <v>18</v>
      </c>
      <c r="T1" s="4" t="s">
        <v>19</v>
      </c>
      <c r="U1" t="s">
        <v>20</v>
      </c>
      <c r="V1" t="s">
        <v>21</v>
      </c>
      <c r="W1" t="s">
        <v>22</v>
      </c>
      <c r="X1" t="s">
        <v>23</v>
      </c>
      <c r="Y1" t="s">
        <v>24</v>
      </c>
    </row>
    <row r="2" spans="1:25" ht="80" x14ac:dyDescent="0.2">
      <c r="A2" t="s">
        <v>25</v>
      </c>
      <c r="B2" t="s">
        <v>39</v>
      </c>
      <c r="C2" t="s">
        <v>40</v>
      </c>
      <c r="D2" t="s">
        <v>42</v>
      </c>
      <c r="E2">
        <v>2209</v>
      </c>
      <c r="F2" s="2">
        <v>1.7575964927635399E-2</v>
      </c>
      <c r="G2">
        <v>72874</v>
      </c>
      <c r="H2">
        <v>9498</v>
      </c>
      <c r="I2" s="1">
        <v>0.100393766662577</v>
      </c>
      <c r="J2" s="1">
        <v>1.5926795313134E-3</v>
      </c>
      <c r="K2" t="b">
        <v>1</v>
      </c>
      <c r="L2" s="3" t="s">
        <v>56</v>
      </c>
      <c r="M2" t="s">
        <v>64</v>
      </c>
      <c r="N2" s="3" t="s">
        <v>76</v>
      </c>
      <c r="O2" t="s">
        <v>89</v>
      </c>
      <c r="P2" s="4" t="s">
        <v>101</v>
      </c>
      <c r="Q2" t="s">
        <v>114</v>
      </c>
      <c r="R2" s="4" t="s">
        <v>118</v>
      </c>
      <c r="S2" s="4" t="s">
        <v>132</v>
      </c>
      <c r="T2" s="4" t="s">
        <v>146</v>
      </c>
      <c r="U2" s="4" t="s">
        <v>201</v>
      </c>
      <c r="V2" t="s">
        <v>25</v>
      </c>
      <c r="W2" t="b">
        <v>0</v>
      </c>
      <c r="X2" t="s">
        <v>170</v>
      </c>
      <c r="Y2" t="s">
        <v>184</v>
      </c>
    </row>
    <row r="3" spans="1:25" ht="128" x14ac:dyDescent="0.2">
      <c r="A3" t="s">
        <v>26</v>
      </c>
      <c r="B3" t="s">
        <v>39</v>
      </c>
      <c r="C3" t="s">
        <v>40</v>
      </c>
      <c r="D3" t="s">
        <v>43</v>
      </c>
      <c r="E3">
        <v>8671</v>
      </c>
      <c r="F3" s="2">
        <v>6.8991032995711396E-2</v>
      </c>
      <c r="G3">
        <v>27638</v>
      </c>
      <c r="H3">
        <v>6506</v>
      </c>
      <c r="I3" s="1">
        <v>0.120288692862871</v>
      </c>
      <c r="J3" s="1">
        <v>1.5696962364018E-3</v>
      </c>
      <c r="K3" t="b">
        <v>1</v>
      </c>
      <c r="L3" s="3" t="s">
        <v>57</v>
      </c>
      <c r="M3" t="s">
        <v>64</v>
      </c>
      <c r="N3" s="3" t="s">
        <v>76</v>
      </c>
      <c r="O3" t="s">
        <v>89</v>
      </c>
      <c r="P3" s="4" t="s">
        <v>102</v>
      </c>
      <c r="Q3" t="s">
        <v>115</v>
      </c>
      <c r="R3" s="4" t="s">
        <v>119</v>
      </c>
      <c r="S3" s="4" t="s">
        <v>133</v>
      </c>
      <c r="T3" s="4" t="s">
        <v>147</v>
      </c>
      <c r="U3" t="s">
        <v>198</v>
      </c>
      <c r="V3" t="s">
        <v>199</v>
      </c>
      <c r="W3" t="b">
        <v>1</v>
      </c>
      <c r="X3" t="s">
        <v>171</v>
      </c>
      <c r="Y3" t="s">
        <v>185</v>
      </c>
    </row>
    <row r="4" spans="1:25" ht="80" x14ac:dyDescent="0.2">
      <c r="A4" t="s">
        <v>27</v>
      </c>
      <c r="B4" t="s">
        <v>39</v>
      </c>
      <c r="C4" t="s">
        <v>40</v>
      </c>
      <c r="D4" t="s">
        <v>44</v>
      </c>
      <c r="E4">
        <v>609</v>
      </c>
      <c r="F4" s="2">
        <v>4.8455240565549E-3</v>
      </c>
      <c r="G4">
        <v>61717</v>
      </c>
      <c r="H4">
        <v>9080</v>
      </c>
      <c r="I4" s="1">
        <v>3.2713949227950803E-2</v>
      </c>
      <c r="J4" s="1">
        <v>1.2973302509634999E-3</v>
      </c>
      <c r="K4" t="b">
        <v>1</v>
      </c>
      <c r="L4" s="3" t="s">
        <v>58</v>
      </c>
      <c r="M4" t="s">
        <v>64</v>
      </c>
      <c r="N4" s="3" t="s">
        <v>77</v>
      </c>
      <c r="O4" t="s">
        <v>90</v>
      </c>
      <c r="P4" s="4" t="s">
        <v>103</v>
      </c>
      <c r="Q4" t="s">
        <v>116</v>
      </c>
      <c r="R4" s="4" t="s">
        <v>120</v>
      </c>
      <c r="S4" s="4" t="s">
        <v>134</v>
      </c>
      <c r="T4" s="4" t="s">
        <v>200</v>
      </c>
      <c r="U4" t="s">
        <v>159</v>
      </c>
      <c r="V4" t="s">
        <v>162</v>
      </c>
      <c r="W4" t="b">
        <v>1</v>
      </c>
      <c r="X4" t="s">
        <v>172</v>
      </c>
      <c r="Y4" t="s">
        <v>186</v>
      </c>
    </row>
    <row r="5" spans="1:25" ht="64" x14ac:dyDescent="0.2">
      <c r="A5" t="s">
        <v>28</v>
      </c>
      <c r="B5" t="s">
        <v>39</v>
      </c>
      <c r="C5" t="s">
        <v>40</v>
      </c>
      <c r="D5" t="s">
        <v>45</v>
      </c>
      <c r="E5">
        <v>2235</v>
      </c>
      <c r="F5" s="2">
        <v>1.7782834591790499E-2</v>
      </c>
      <c r="G5">
        <v>57008</v>
      </c>
      <c r="H5">
        <v>8821</v>
      </c>
      <c r="I5" s="1">
        <v>0.11163545948140299</v>
      </c>
      <c r="J5" s="1">
        <v>2.3670920636503999E-3</v>
      </c>
      <c r="K5" t="b">
        <v>1</v>
      </c>
      <c r="L5" s="3" t="s">
        <v>59</v>
      </c>
      <c r="M5" t="s">
        <v>65</v>
      </c>
      <c r="N5" s="3" t="s">
        <v>78</v>
      </c>
      <c r="O5" t="s">
        <v>91</v>
      </c>
      <c r="P5" s="4" t="s">
        <v>104</v>
      </c>
      <c r="Q5" t="s">
        <v>117</v>
      </c>
      <c r="R5" s="4" t="s">
        <v>121</v>
      </c>
      <c r="S5" s="4" t="s">
        <v>135</v>
      </c>
      <c r="T5" s="4" t="s">
        <v>148</v>
      </c>
      <c r="U5" t="s">
        <v>160</v>
      </c>
      <c r="V5" t="s">
        <v>163</v>
      </c>
      <c r="W5" t="b">
        <v>1</v>
      </c>
      <c r="X5" t="s">
        <v>173</v>
      </c>
      <c r="Y5" t="s">
        <v>187</v>
      </c>
    </row>
    <row r="6" spans="1:25" ht="112" x14ac:dyDescent="0.2">
      <c r="A6" t="s">
        <v>29</v>
      </c>
      <c r="B6" t="s">
        <v>39</v>
      </c>
      <c r="C6" t="s">
        <v>40</v>
      </c>
      <c r="D6" t="s">
        <v>46</v>
      </c>
      <c r="E6">
        <v>241</v>
      </c>
      <c r="F6" s="2">
        <v>1.9175226562064E-3</v>
      </c>
      <c r="G6">
        <v>63691</v>
      </c>
      <c r="H6">
        <v>9154</v>
      </c>
      <c r="I6" s="1">
        <v>3.69902018976834E-2</v>
      </c>
      <c r="J6" s="1">
        <v>5.1066987216472001E-3</v>
      </c>
      <c r="K6" t="b">
        <v>1</v>
      </c>
      <c r="L6" s="3" t="s">
        <v>58</v>
      </c>
      <c r="M6" t="s">
        <v>66</v>
      </c>
      <c r="N6" s="3" t="s">
        <v>79</v>
      </c>
      <c r="O6" t="s">
        <v>92</v>
      </c>
      <c r="P6" s="4" t="s">
        <v>105</v>
      </c>
      <c r="Q6" t="s">
        <v>115</v>
      </c>
      <c r="R6" s="4" t="s">
        <v>122</v>
      </c>
      <c r="S6" s="4" t="s">
        <v>136</v>
      </c>
      <c r="T6" s="4" t="s">
        <v>149</v>
      </c>
      <c r="U6" t="s">
        <v>161</v>
      </c>
      <c r="V6" t="s">
        <v>164</v>
      </c>
      <c r="W6" t="b">
        <v>1</v>
      </c>
      <c r="X6" t="s">
        <v>174</v>
      </c>
      <c r="Y6" t="s">
        <v>188</v>
      </c>
    </row>
    <row r="7" spans="1:25" ht="112" x14ac:dyDescent="0.2">
      <c r="A7" t="s">
        <v>30</v>
      </c>
      <c r="B7" t="s">
        <v>39</v>
      </c>
      <c r="C7" t="s">
        <v>40</v>
      </c>
      <c r="D7" t="s">
        <v>47</v>
      </c>
      <c r="E7">
        <v>152</v>
      </c>
      <c r="F7" s="2">
        <v>1.2093918827525999E-3</v>
      </c>
      <c r="G7">
        <v>49046.5</v>
      </c>
      <c r="H7">
        <v>8421.5</v>
      </c>
      <c r="I7" s="1">
        <v>0.104109969518625</v>
      </c>
      <c r="J7" s="1">
        <v>4.7508716583252002E-2</v>
      </c>
      <c r="K7" t="b">
        <v>1</v>
      </c>
      <c r="L7" s="3" t="s">
        <v>60</v>
      </c>
      <c r="M7" t="s">
        <v>67</v>
      </c>
      <c r="N7" s="3" t="s">
        <v>80</v>
      </c>
      <c r="O7" t="s">
        <v>93</v>
      </c>
      <c r="P7" s="4" t="s">
        <v>106</v>
      </c>
      <c r="R7" s="4" t="s">
        <v>123</v>
      </c>
      <c r="S7" s="4" t="s">
        <v>137</v>
      </c>
      <c r="T7" s="4" t="s">
        <v>150</v>
      </c>
      <c r="V7" t="s">
        <v>30</v>
      </c>
      <c r="W7" t="b">
        <v>0</v>
      </c>
      <c r="X7" t="s">
        <v>175</v>
      </c>
      <c r="Y7" t="s">
        <v>189</v>
      </c>
    </row>
    <row r="8" spans="1:25" ht="80" x14ac:dyDescent="0.2">
      <c r="A8" t="s">
        <v>31</v>
      </c>
      <c r="B8" t="s">
        <v>39</v>
      </c>
      <c r="C8" t="s">
        <v>40</v>
      </c>
      <c r="D8" t="s">
        <v>48</v>
      </c>
      <c r="E8">
        <v>625</v>
      </c>
      <c r="F8" s="2">
        <v>4.9728284652657004E-3</v>
      </c>
      <c r="G8">
        <v>70322</v>
      </c>
      <c r="H8">
        <v>9087</v>
      </c>
      <c r="I8" s="1">
        <v>9.0907724902706197E-2</v>
      </c>
      <c r="J8" s="1">
        <v>2.0470521412789002E-3</v>
      </c>
      <c r="K8" t="b">
        <v>1</v>
      </c>
      <c r="L8" s="3" t="s">
        <v>61</v>
      </c>
      <c r="M8" t="s">
        <v>68</v>
      </c>
      <c r="N8" s="3" t="s">
        <v>81</v>
      </c>
      <c r="O8" t="s">
        <v>94</v>
      </c>
      <c r="P8" s="4" t="s">
        <v>107</v>
      </c>
      <c r="R8" s="4" t="s">
        <v>124</v>
      </c>
      <c r="S8" s="4" t="s">
        <v>138</v>
      </c>
      <c r="T8" s="4" t="s">
        <v>151</v>
      </c>
      <c r="V8" t="s">
        <v>31</v>
      </c>
      <c r="W8" t="b">
        <v>0</v>
      </c>
      <c r="X8" t="s">
        <v>176</v>
      </c>
      <c r="Y8" t="s">
        <v>190</v>
      </c>
    </row>
    <row r="9" spans="1:25" ht="80" x14ac:dyDescent="0.2">
      <c r="A9" t="s">
        <v>32</v>
      </c>
      <c r="B9" t="s">
        <v>39</v>
      </c>
      <c r="C9" t="s">
        <v>40</v>
      </c>
      <c r="D9" t="s">
        <v>49</v>
      </c>
      <c r="E9">
        <v>897</v>
      </c>
      <c r="F9" s="2">
        <v>7.1370034133494001E-3</v>
      </c>
      <c r="G9">
        <v>68541</v>
      </c>
      <c r="H9">
        <v>9095</v>
      </c>
      <c r="I9" s="1">
        <v>0.133516591399961</v>
      </c>
      <c r="J9" s="1">
        <v>2.081784652546E-3</v>
      </c>
      <c r="K9" t="b">
        <v>1</v>
      </c>
      <c r="L9" s="3" t="s">
        <v>62</v>
      </c>
      <c r="M9" t="s">
        <v>69</v>
      </c>
      <c r="N9" s="3" t="s">
        <v>82</v>
      </c>
      <c r="O9" t="s">
        <v>69</v>
      </c>
      <c r="P9" s="4" t="s">
        <v>107</v>
      </c>
      <c r="R9" s="4" t="s">
        <v>125</v>
      </c>
      <c r="S9" s="4" t="s">
        <v>139</v>
      </c>
      <c r="T9" s="4" t="s">
        <v>152</v>
      </c>
      <c r="V9" t="s">
        <v>32</v>
      </c>
      <c r="W9" t="b">
        <v>0</v>
      </c>
      <c r="X9" t="s">
        <v>177</v>
      </c>
      <c r="Y9" t="s">
        <v>191</v>
      </c>
    </row>
    <row r="10" spans="1:25" ht="96" x14ac:dyDescent="0.2">
      <c r="A10" t="s">
        <v>33</v>
      </c>
      <c r="B10" t="s">
        <v>39</v>
      </c>
      <c r="C10" t="s">
        <v>41</v>
      </c>
      <c r="D10" t="s">
        <v>50</v>
      </c>
      <c r="E10">
        <v>303</v>
      </c>
      <c r="F10" s="2">
        <v>2.4108272399607999E-3</v>
      </c>
      <c r="G10">
        <v>34203</v>
      </c>
      <c r="H10">
        <v>7041</v>
      </c>
      <c r="I10" s="1">
        <v>0.17790987295142</v>
      </c>
      <c r="J10" s="1">
        <v>1.46487327292562E-2</v>
      </c>
      <c r="K10" t="b">
        <v>1</v>
      </c>
      <c r="L10" s="3" t="s">
        <v>63</v>
      </c>
      <c r="M10" t="s">
        <v>70</v>
      </c>
      <c r="N10" s="3" t="s">
        <v>83</v>
      </c>
      <c r="O10" t="s">
        <v>95</v>
      </c>
      <c r="P10" s="4" t="s">
        <v>108</v>
      </c>
      <c r="R10" s="4" t="s">
        <v>126</v>
      </c>
      <c r="S10" s="4" t="s">
        <v>140</v>
      </c>
      <c r="T10" s="4" t="s">
        <v>153</v>
      </c>
      <c r="V10" t="s">
        <v>33</v>
      </c>
      <c r="W10" t="b">
        <v>0</v>
      </c>
      <c r="X10" t="s">
        <v>178</v>
      </c>
      <c r="Y10" t="s">
        <v>192</v>
      </c>
    </row>
    <row r="11" spans="1:25" ht="96" x14ac:dyDescent="0.2">
      <c r="A11" t="s">
        <v>34</v>
      </c>
      <c r="B11" t="s">
        <v>39</v>
      </c>
      <c r="C11" t="s">
        <v>41</v>
      </c>
      <c r="D11" t="s">
        <v>51</v>
      </c>
      <c r="E11">
        <v>1234</v>
      </c>
      <c r="F11" s="2">
        <v>9.8183525218207002E-3</v>
      </c>
      <c r="G11">
        <v>34249.5</v>
      </c>
      <c r="H11">
        <v>7298.5</v>
      </c>
      <c r="I11" s="1">
        <v>9.4701884701654498E-2</v>
      </c>
      <c r="J11" s="1">
        <v>4.5110110659152E-3</v>
      </c>
      <c r="K11" t="b">
        <v>1</v>
      </c>
      <c r="L11" s="3" t="s">
        <v>63</v>
      </c>
      <c r="M11" t="s">
        <v>71</v>
      </c>
      <c r="N11" s="3" t="s">
        <v>84</v>
      </c>
      <c r="O11" t="s">
        <v>96</v>
      </c>
      <c r="P11" s="4" t="s">
        <v>109</v>
      </c>
      <c r="R11" s="4" t="s">
        <v>127</v>
      </c>
      <c r="S11" s="4" t="s">
        <v>141</v>
      </c>
      <c r="T11" s="4" t="s">
        <v>154</v>
      </c>
      <c r="V11" t="s">
        <v>165</v>
      </c>
      <c r="W11" t="b">
        <v>1</v>
      </c>
      <c r="X11" t="s">
        <v>179</v>
      </c>
      <c r="Y11" t="s">
        <v>193</v>
      </c>
    </row>
    <row r="12" spans="1:25" ht="96" x14ac:dyDescent="0.2">
      <c r="A12" t="s">
        <v>35</v>
      </c>
      <c r="B12" t="s">
        <v>39</v>
      </c>
      <c r="C12" t="s">
        <v>41</v>
      </c>
      <c r="D12" t="s">
        <v>52</v>
      </c>
      <c r="E12">
        <v>125</v>
      </c>
      <c r="F12" s="2">
        <v>9.9456569305315001E-4</v>
      </c>
      <c r="G12">
        <v>65886</v>
      </c>
      <c r="H12">
        <v>9176</v>
      </c>
      <c r="I12" s="1">
        <v>0.11917682861946401</v>
      </c>
      <c r="J12" s="1">
        <v>3.6081627011299099E-2</v>
      </c>
      <c r="K12" t="b">
        <v>1</v>
      </c>
      <c r="L12" s="3" t="s">
        <v>63</v>
      </c>
      <c r="M12" t="s">
        <v>72</v>
      </c>
      <c r="N12" s="3" t="s">
        <v>85</v>
      </c>
      <c r="O12" t="s">
        <v>97</v>
      </c>
      <c r="P12" s="4" t="s">
        <v>110</v>
      </c>
      <c r="R12" s="4" t="s">
        <v>128</v>
      </c>
      <c r="S12" s="4" t="s">
        <v>142</v>
      </c>
      <c r="T12" s="4" t="s">
        <v>155</v>
      </c>
      <c r="V12" s="3" t="s">
        <v>166</v>
      </c>
      <c r="W12" t="b">
        <v>1</v>
      </c>
      <c r="X12" t="s">
        <v>180</v>
      </c>
      <c r="Y12" t="s">
        <v>194</v>
      </c>
    </row>
    <row r="13" spans="1:25" ht="96" x14ac:dyDescent="0.2">
      <c r="A13" t="s">
        <v>36</v>
      </c>
      <c r="B13" t="s">
        <v>39</v>
      </c>
      <c r="C13" t="s">
        <v>41</v>
      </c>
      <c r="D13" t="s">
        <v>53</v>
      </c>
      <c r="E13">
        <v>1363</v>
      </c>
      <c r="F13" s="2">
        <v>1.08447443170516E-2</v>
      </c>
      <c r="G13">
        <v>41165</v>
      </c>
      <c r="H13">
        <v>7923</v>
      </c>
      <c r="I13" s="1">
        <v>0.116135221793027</v>
      </c>
      <c r="J13" s="1">
        <v>3.7882798351347E-3</v>
      </c>
      <c r="K13" t="b">
        <v>1</v>
      </c>
      <c r="L13" s="3" t="s">
        <v>63</v>
      </c>
      <c r="M13" t="s">
        <v>73</v>
      </c>
      <c r="N13" s="3" t="s">
        <v>86</v>
      </c>
      <c r="O13" t="s">
        <v>98</v>
      </c>
      <c r="P13" s="4" t="s">
        <v>111</v>
      </c>
      <c r="R13" s="4" t="s">
        <v>129</v>
      </c>
      <c r="S13" s="4" t="s">
        <v>143</v>
      </c>
      <c r="T13" s="4" t="s">
        <v>156</v>
      </c>
      <c r="V13" t="s">
        <v>167</v>
      </c>
      <c r="W13" t="b">
        <v>1</v>
      </c>
      <c r="X13" t="s">
        <v>181</v>
      </c>
      <c r="Y13" t="s">
        <v>195</v>
      </c>
    </row>
    <row r="14" spans="1:25" ht="112" x14ac:dyDescent="0.2">
      <c r="A14" t="s">
        <v>37</v>
      </c>
      <c r="B14" t="s">
        <v>39</v>
      </c>
      <c r="C14" t="s">
        <v>41</v>
      </c>
      <c r="D14" t="s">
        <v>54</v>
      </c>
      <c r="E14">
        <v>815</v>
      </c>
      <c r="F14" s="2">
        <v>6.4845683187065E-3</v>
      </c>
      <c r="G14">
        <v>33886</v>
      </c>
      <c r="H14">
        <v>7145</v>
      </c>
      <c r="I14" s="1">
        <v>9.47811148628636E-2</v>
      </c>
      <c r="J14" s="1">
        <v>3.7179482169449E-3</v>
      </c>
      <c r="K14" t="b">
        <v>1</v>
      </c>
      <c r="L14" s="3" t="s">
        <v>63</v>
      </c>
      <c r="M14" t="s">
        <v>74</v>
      </c>
      <c r="N14" s="3" t="s">
        <v>87</v>
      </c>
      <c r="O14" t="s">
        <v>99</v>
      </c>
      <c r="P14" s="4" t="s">
        <v>112</v>
      </c>
      <c r="R14" s="4" t="s">
        <v>130</v>
      </c>
      <c r="S14" s="4" t="s">
        <v>144</v>
      </c>
      <c r="T14" s="4" t="s">
        <v>157</v>
      </c>
      <c r="V14" t="s">
        <v>168</v>
      </c>
      <c r="W14" t="b">
        <v>1</v>
      </c>
      <c r="X14" t="s">
        <v>182</v>
      </c>
      <c r="Y14" t="s">
        <v>196</v>
      </c>
    </row>
    <row r="15" spans="1:25" ht="80" x14ac:dyDescent="0.2">
      <c r="A15" t="s">
        <v>38</v>
      </c>
      <c r="B15" t="s">
        <v>39</v>
      </c>
      <c r="C15" t="s">
        <v>41</v>
      </c>
      <c r="D15" t="s">
        <v>55</v>
      </c>
      <c r="E15">
        <v>7535</v>
      </c>
      <c r="F15" s="2">
        <v>5.9952419977244299E-2</v>
      </c>
      <c r="G15">
        <v>19072</v>
      </c>
      <c r="H15">
        <v>5608</v>
      </c>
      <c r="I15" s="1">
        <v>0.10136545226879699</v>
      </c>
      <c r="J15" s="1">
        <v>2.7495198883115998E-3</v>
      </c>
      <c r="K15" t="b">
        <v>1</v>
      </c>
      <c r="L15" s="3" t="s">
        <v>63</v>
      </c>
      <c r="M15" t="s">
        <v>75</v>
      </c>
      <c r="N15" s="3" t="s">
        <v>88</v>
      </c>
      <c r="O15" t="s">
        <v>100</v>
      </c>
      <c r="P15" s="4" t="s">
        <v>113</v>
      </c>
      <c r="R15" s="4" t="s">
        <v>131</v>
      </c>
      <c r="S15" s="4" t="s">
        <v>145</v>
      </c>
      <c r="T15" s="4" t="s">
        <v>158</v>
      </c>
      <c r="V15" t="s">
        <v>169</v>
      </c>
      <c r="W15" t="b">
        <v>1</v>
      </c>
      <c r="X15" t="s">
        <v>183</v>
      </c>
      <c r="Y15" t="s">
        <v>197</v>
      </c>
    </row>
  </sheetData>
  <autoFilter ref="A1:Y1" xr:uid="{00000000-0001-0000-0000-000000000000}"/>
  <conditionalFormatting sqref="W1:W1048576">
    <cfRule type="cellIs" dxfId="0" priority="1" operator="equal">
      <formula>TRUE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Louise Huuki</cp:lastModifiedBy>
  <dcterms:created xsi:type="dcterms:W3CDTF">2026-08-31T17:25:14Z</dcterms:created>
  <dcterms:modified xsi:type="dcterms:W3CDTF">2026-08-31T17:44:09Z</dcterms:modified>
</cp:coreProperties>
</file>