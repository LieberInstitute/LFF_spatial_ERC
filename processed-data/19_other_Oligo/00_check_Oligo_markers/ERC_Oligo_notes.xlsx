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19_other_Oligo/00_check_Oligo_markers/"/>
    </mc:Choice>
  </mc:AlternateContent>
  <xr:revisionPtr revIDLastSave="52" documentId="13_ncr:1_{45DC2D14-E444-3940-B2F7-9E131A33B774}" xr6:coauthVersionLast="47" xr6:coauthVersionMax="47" xr10:uidLastSave="{421F8BEA-9673-434A-9427-D6525E516265}"/>
  <bookViews>
    <workbookView xWindow="38400" yWindow="1720" windowWidth="30240" windowHeight="17800" xr2:uid="{D3C45F6A-23E9-DF44-BEE0-E5DD3B4BB180}"/>
  </bookViews>
  <sheets>
    <sheet name="Oligo Annotations" sheetId="1" r:id="rId1"/>
    <sheet name="External Datasets" sheetId="4" r:id="rId2"/>
  </sheets>
  <definedNames>
    <definedName name="_xlnm._FilterDatabase" localSheetId="0" hidden="1">'Oligo Annotations'!$A$1:$A$1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<sst xmlns="http://schemas.openxmlformats.org/spreadsheetml/2006/main" count="173" uniqueCount="148">
  <si>
    <t>OPC</t>
  </si>
  <si>
    <t>Oligo.1</t>
  </si>
  <si>
    <t>Oligo.2</t>
  </si>
  <si>
    <t>Oligo.3</t>
  </si>
  <si>
    <t>Oligo.4</t>
  </si>
  <si>
    <t>Oligo.5</t>
  </si>
  <si>
    <t>OPCs/COPs</t>
  </si>
  <si>
    <t>imOGLs</t>
  </si>
  <si>
    <t>Oligo4/Oligo2</t>
  </si>
  <si>
    <t>Oligo4</t>
  </si>
  <si>
    <t>Oligo1/Oligo6</t>
  </si>
  <si>
    <t>Jakel2019</t>
  </si>
  <si>
    <t>Grubman2019</t>
  </si>
  <si>
    <t>o4</t>
  </si>
  <si>
    <t>o4*</t>
  </si>
  <si>
    <t>o5*</t>
  </si>
  <si>
    <t>o5/o6</t>
  </si>
  <si>
    <t>Sadick2022</t>
  </si>
  <si>
    <t>S3</t>
  </si>
  <si>
    <t>S5</t>
  </si>
  <si>
    <t>no match</t>
  </si>
  <si>
    <t>NA</t>
  </si>
  <si>
    <t>S1</t>
  </si>
  <si>
    <t>S0/S2</t>
  </si>
  <si>
    <t>Int0/Int3</t>
  </si>
  <si>
    <t>Int2/Int4</t>
  </si>
  <si>
    <t>Int2</t>
  </si>
  <si>
    <t>Lit marker</t>
  </si>
  <si>
    <t>Data Driven marker</t>
  </si>
  <si>
    <t>PDGFRA</t>
  </si>
  <si>
    <t>ARHGEF3</t>
  </si>
  <si>
    <t>OPALIN</t>
  </si>
  <si>
    <t>OMG,OPALIN,SEMA6D</t>
  </si>
  <si>
    <t>RASGRF2</t>
  </si>
  <si>
    <t>RASGRF1 + RBFOX1</t>
  </si>
  <si>
    <t>LINGO2, MT-CO3, GPM6A, KCNJ3, KCND2</t>
  </si>
  <si>
    <t>KCTD1, LAMA2</t>
  </si>
  <si>
    <t>Green2024</t>
  </si>
  <si>
    <t xml:space="preserve">Oli.1, Oli.2, Oli.7, Oli.8, Oli.12 </t>
  </si>
  <si>
    <t>Oli.9, MFOL</t>
  </si>
  <si>
    <t>Oli.9, Oli.3</t>
  </si>
  <si>
    <t>Annotation</t>
  </si>
  <si>
    <t>Newly formed Oligo</t>
  </si>
  <si>
    <t>pseudotime rank</t>
  </si>
  <si>
    <t>Sadick2022 Integrated Data</t>
  </si>
  <si>
    <t>Study</t>
  </si>
  <si>
    <t>Condition</t>
  </si>
  <si>
    <t>Subtypes</t>
  </si>
  <si>
    <t>N nuclei</t>
  </si>
  <si>
    <t>Region</t>
  </si>
  <si>
    <t>Marques et al. (2016) </t>
  </si>
  <si>
    <t>Adult + juvenile mouse</t>
  </si>
  <si>
    <t>OPC, COP, NFOL, MFOL, MOL </t>
  </si>
  <si>
    <t>5k Oligos</t>
  </si>
  <si>
    <t>Jakel et al. (2019)</t>
  </si>
  <si>
    <t>5 Ctrl, 4 MS</t>
  </si>
  <si>
    <t>OPC, COP, ImOLs, Oligo</t>
  </si>
  <si>
    <t>White matter</t>
  </si>
  <si>
    <t>Mathys et al. (2019)</t>
  </si>
  <si>
    <t>24 Ctrl, 24 AD</t>
  </si>
  <si>
    <t>5 subclusters</t>
  </si>
  <si>
    <t>80k (18k Oligos)</t>
  </si>
  <si>
    <t>Prefrontal cortex</t>
  </si>
  <si>
    <t>Sadick et al. (2022)</t>
  </si>
  <si>
    <t>Ctrl, AD</t>
  </si>
  <si>
    <t>Grubman et al. (2019)</t>
  </si>
  <si>
    <t>6 Ctrl, 6 AD</t>
  </si>
  <si>
    <t>6 subclusters (some AD or control specific)</t>
  </si>
  <si>
    <t>ERC</t>
  </si>
  <si>
    <t>4 Ctrl</t>
  </si>
  <si>
    <t>2 clusters Oligo1 (OPALIN), Oligo2 (RBFOX1); 15 subclusters</t>
  </si>
  <si>
    <t>Mathys et al. (2024)</t>
  </si>
  <si>
    <t>48 Ctrl, 48 AD</t>
  </si>
  <si>
    <t>OPALIN+ and RASGRF1+</t>
  </si>
  <si>
    <t>Green et al. (2024)</t>
  </si>
  <si>
    <t>n nuclei</t>
  </si>
  <si>
    <t>18k</t>
  </si>
  <si>
    <t xml:space="preserve">8k </t>
  </si>
  <si>
    <t>80k</t>
  </si>
  <si>
    <t>Sadick et al. (2022) integrated</t>
  </si>
  <si>
    <t xml:space="preserve">5 subclusters, </t>
  </si>
  <si>
    <t>6 subclusters</t>
  </si>
  <si>
    <t>23k</t>
  </si>
  <si>
    <t xml:space="preserve">New data (PFC) Integrated </t>
  </si>
  <si>
    <t>Zhou, Grubman, Manthys</t>
  </si>
  <si>
    <t>3M</t>
  </si>
  <si>
    <t>596k</t>
  </si>
  <si>
    <t xml:space="preserve">13k </t>
  </si>
  <si>
    <r>
      <t>10 regions including temporal cortex (</t>
    </r>
    <r>
      <rPr>
        <b/>
        <sz val="12"/>
        <color rgb="FF000000"/>
        <rFont val="Arial"/>
        <family val="2"/>
      </rPr>
      <t>ERC</t>
    </r>
    <r>
      <rPr>
        <sz val="12"/>
        <color rgb="FF000000"/>
        <rFont val="Arial"/>
        <family val="2"/>
      </rPr>
      <t>), 606 samples</t>
    </r>
  </si>
  <si>
    <t>1.3 M (221k ERC)</t>
  </si>
  <si>
    <t>408k Oligo</t>
  </si>
  <si>
    <r>
      <t>ERC</t>
    </r>
    <r>
      <rPr>
        <sz val="12"/>
        <color rgb="FF000000"/>
        <rFont val="Arial"/>
        <family val="2"/>
      </rPr>
      <t>, HC, TH, AG, PFC</t>
    </r>
    <r>
      <rPr>
        <b/>
        <sz val="12"/>
        <color rgb="FF000000"/>
        <rFont val="Arial"/>
        <family val="2"/>
      </rPr>
      <t xml:space="preserve"> (283 samples)</t>
    </r>
  </si>
  <si>
    <t>Siletti et al. (2023)
Allen brain atlas</t>
  </si>
  <si>
    <t xml:space="preserve">OPC(3 subcluster), COP, Oli (12 subcluster) </t>
  </si>
  <si>
    <t>compare to ERC</t>
  </si>
  <si>
    <t>note</t>
  </si>
  <si>
    <t>check markes</t>
  </si>
  <si>
    <t>marker stat correlation</t>
  </si>
  <si>
    <t>Ctrl AD (437 total)</t>
  </si>
  <si>
    <t>1.65M</t>
  </si>
  <si>
    <t>346k Oligo, 62k OPC</t>
  </si>
  <si>
    <t>prefromal cortex</t>
  </si>
  <si>
    <t>n donors</t>
  </si>
  <si>
    <t>subtype OPALIN</t>
  </si>
  <si>
    <t>subtype RASGRF1</t>
  </si>
  <si>
    <t>subtype RBFOX1</t>
  </si>
  <si>
    <t>Oligo6 (immature)</t>
  </si>
  <si>
    <t>Oligo1 (mature)</t>
  </si>
  <si>
    <t>S1*</t>
  </si>
  <si>
    <t>S2</t>
  </si>
  <si>
    <t>Int4</t>
  </si>
  <si>
    <t>Oligo1, Oligo5*</t>
  </si>
  <si>
    <t>Int3, Int5</t>
  </si>
  <si>
    <t>Oligo OPALIN</t>
  </si>
  <si>
    <t>Oligo RASGRF1</t>
  </si>
  <si>
    <t>Oligo RASGRF1*</t>
  </si>
  <si>
    <t>Oligo1</t>
  </si>
  <si>
    <t>Oligo.2 ("mature/end state"), OPC*, COP*</t>
  </si>
  <si>
    <t>o5, o6</t>
  </si>
  <si>
    <t>o3, o4</t>
  </si>
  <si>
    <t>MFOL* (myelin forming)</t>
  </si>
  <si>
    <t>Oli.5</t>
  </si>
  <si>
    <t>Oli12, OPC1*, Oli5*</t>
  </si>
  <si>
    <t>Late Oligo</t>
  </si>
  <si>
    <t>Perivascular Oligo</t>
  </si>
  <si>
    <t>RBFOX1, PDGFRA</t>
  </si>
  <si>
    <t>OPALIN, OMG</t>
  </si>
  <si>
    <t>Myelinating Oligo</t>
  </si>
  <si>
    <t>Macnair et al. (2025)</t>
  </si>
  <si>
    <t>632k</t>
  </si>
  <si>
    <t>Ctrl, Multiple sclerosis</t>
  </si>
  <si>
    <t>OPC (2 subclusters), COP, Oligo (7 subclusters)</t>
  </si>
  <si>
    <t xml:space="preserve">cortical heimsphere white and gray matter, WM &amp; GM lesions </t>
  </si>
  <si>
    <t>Oligo_D</t>
  </si>
  <si>
    <t>Oligo_A, Oligo_B</t>
  </si>
  <si>
    <t>Oligo_C*, Oligo_D*</t>
  </si>
  <si>
    <t>Oligo subtype</t>
  </si>
  <si>
    <t xml:space="preserve"> </t>
  </si>
  <si>
    <t>check markers</t>
  </si>
  <si>
    <t>https://doi.org/10.1016/j.neuron.2024.11.016</t>
  </si>
  <si>
    <t>DOI</t>
  </si>
  <si>
    <t>Annotation_short</t>
  </si>
  <si>
    <t>Oligo.NF</t>
  </si>
  <si>
    <t>Oligo.M</t>
  </si>
  <si>
    <t>Oligo.L</t>
  </si>
  <si>
    <t>Oligo.PM</t>
  </si>
  <si>
    <t>Oligo.PV</t>
  </si>
  <si>
    <t>Pre-myelinating Oligo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</si>
</sst>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8FE2-0B82-7D4D-BDF4-7C654142C9BA}">
  <dimension ref="A1:L7"/>
  <sheetViews>
    <sheetView tabSelected="1" zoomScale="122" zoomScaleNormal="122" workbookViewId="0">
      <pane xSplit="1" topLeftCell="B1" activePane="topRight" state="frozen"/>
      <selection pane="topRight" activeCell="C11" sqref="C11"/>
    </sheetView>
  </sheetViews>
  <sheetFormatPr baseColWidth="10" defaultRowHeight="16" x14ac:dyDescent="0.2"/>
  <cols>
    <col min="1" max="1" width="13.6640625" style="3" customWidth="1"/>
    <col min="2" max="2" width="18.6640625" style="3" bestFit="1" customWidth="1"/>
    <col min="3" max="3" width="15.6640625" style="3" customWidth="1"/>
    <col min="4" max="4" width="15" bestFit="1" customWidth="1"/>
    <col min="5" max="5" width="17.33203125" bestFit="1" customWidth="1"/>
    <col min="6" max="6" width="7.5" bestFit="1" customWidth="1"/>
    <col min="7" max="7" width="19.33203125" bestFit="1" customWidth="1"/>
    <col min="8" max="8" width="12.1640625" bestFit="1" customWidth="1"/>
    <col min="9" max="9" width="12.6640625" bestFit="1" customWidth="1"/>
    <col min="11" max="11" width="13.5" bestFit="1" customWidth="1"/>
    <col min="12" max="12" width="19.6640625" customWidth="1"/>
  </cols>
  <sheetData>
    <row r="1" spans="1:12" ht="52" customHeight="1" x14ac:dyDescent="0.2">
      <c r="A1" s="2" t="s">
        <v>136</v>
      </c>
      <c r="B1" s="2" t="s">
        <v>41</v>
      </c>
      <c r="C1" s="2" t="s">
        <v>141</v>
      </c>
      <c r="D1" s="2" t="s">
        <v>43</v>
      </c>
      <c r="E1" s="1" t="s">
        <v>27</v>
      </c>
      <c r="F1" s="1" t="s">
        <v>75</v>
      </c>
      <c r="G1" s="1" t="s">
        <v>28</v>
      </c>
      <c r="H1" s="1" t="s">
        <v>11</v>
      </c>
      <c r="I1" s="1" t="s">
        <v>12</v>
      </c>
      <c r="J1" s="1" t="s">
        <v>17</v>
      </c>
      <c r="K1" s="1" t="s">
        <v>44</v>
      </c>
      <c r="L1" s="1" t="s">
        <v>37</v>
      </c>
    </row>
    <row r="2" spans="1:12" x14ac:dyDescent="0.2">
      <c r="A2" s="2" t="s">
        <v>0</v>
      </c>
      <c r="B2" s="2" t="s">
        <v>0</v>
      </c>
      <c r="C2" s="2" t="s">
        <v>0</v>
      </c>
      <c r="D2" s="2">
        <v>0</v>
      </c>
      <c r="E2" s="1" t="s">
        <v>29</v>
      </c>
      <c r="F2" s="1"/>
      <c r="G2" s="1"/>
      <c r="H2" s="1" t="s">
        <v>6</v>
      </c>
      <c r="I2" s="1" t="s">
        <v>21</v>
      </c>
      <c r="J2" s="1" t="s">
        <v>21</v>
      </c>
      <c r="K2" s="1" t="s">
        <v>21</v>
      </c>
      <c r="L2" s="1" t="s">
        <v>38</v>
      </c>
    </row>
    <row r="3" spans="1:12" ht="51" x14ac:dyDescent="0.2">
      <c r="A3" s="2" t="s">
        <v>3</v>
      </c>
      <c r="B3" s="5" t="s">
        <v>42</v>
      </c>
      <c r="C3" s="5" t="s">
        <v>142</v>
      </c>
      <c r="D3" s="2">
        <v>1</v>
      </c>
      <c r="E3" s="1" t="s">
        <v>125</v>
      </c>
      <c r="F3" s="1">
        <v>8587</v>
      </c>
      <c r="G3" s="4" t="s">
        <v>35</v>
      </c>
      <c r="H3" s="1" t="s">
        <v>7</v>
      </c>
      <c r="I3" s="1" t="s">
        <v>13</v>
      </c>
      <c r="J3" s="1" t="s">
        <v>18</v>
      </c>
      <c r="K3" s="1" t="s">
        <v>25</v>
      </c>
      <c r="L3" s="1" t="s">
        <v>39</v>
      </c>
    </row>
    <row r="4" spans="1:12" x14ac:dyDescent="0.2">
      <c r="A4" s="2" t="s">
        <v>5</v>
      </c>
      <c r="B4" s="2" t="s">
        <v>124</v>
      </c>
      <c r="C4" s="2" t="s">
        <v>146</v>
      </c>
      <c r="D4" s="2">
        <v>2</v>
      </c>
      <c r="E4" s="1"/>
      <c r="F4" s="1">
        <v>4254</v>
      </c>
      <c r="G4" s="1" t="s">
        <v>30</v>
      </c>
      <c r="H4" s="1" t="s">
        <v>8</v>
      </c>
      <c r="I4" s="1" t="s">
        <v>14</v>
      </c>
      <c r="J4" s="1" t="s">
        <v>19</v>
      </c>
      <c r="K4" s="1" t="s">
        <v>25</v>
      </c>
      <c r="L4" s="1" t="s">
        <v>40</v>
      </c>
    </row>
    <row r="5" spans="1:12" x14ac:dyDescent="0.2">
      <c r="A5" s="2" t="s">
        <v>4</v>
      </c>
      <c r="B5" s="2" t="s">
        <v>147</v>
      </c>
      <c r="C5" s="2" t="s">
        <v>145</v>
      </c>
      <c r="D5" s="2">
        <v>3</v>
      </c>
      <c r="E5" s="1" t="s">
        <v>31</v>
      </c>
      <c r="F5" s="1">
        <v>6911</v>
      </c>
      <c r="G5" s="1" t="s">
        <v>36</v>
      </c>
      <c r="H5" s="1" t="s">
        <v>9</v>
      </c>
      <c r="I5" s="1" t="s">
        <v>15</v>
      </c>
      <c r="J5" s="1" t="s">
        <v>20</v>
      </c>
      <c r="K5" s="1" t="s">
        <v>26</v>
      </c>
      <c r="L5" s="1" t="s">
        <v>40</v>
      </c>
    </row>
    <row r="6" spans="1:12" x14ac:dyDescent="0.2">
      <c r="A6" s="2" t="s">
        <v>1</v>
      </c>
      <c r="B6" s="2" t="s">
        <v>127</v>
      </c>
      <c r="C6" s="2" t="s">
        <v>143</v>
      </c>
      <c r="D6" s="2">
        <v>4</v>
      </c>
      <c r="E6" s="1" t="s">
        <v>126</v>
      </c>
      <c r="F6" s="1">
        <v>12519</v>
      </c>
      <c r="G6" s="1" t="s">
        <v>32</v>
      </c>
      <c r="H6" s="1" t="s">
        <v>9</v>
      </c>
      <c r="I6" s="1" t="s">
        <v>16</v>
      </c>
      <c r="J6" s="1" t="s">
        <v>22</v>
      </c>
      <c r="K6" s="1" t="s">
        <v>20</v>
      </c>
      <c r="L6" s="1" t="s">
        <v>40</v>
      </c>
    </row>
    <row r="7" spans="1:12" x14ac:dyDescent="0.2">
      <c r="A7" s="2" t="s">
        <v>2</v>
      </c>
      <c r="B7" s="2" t="s">
        <v>123</v>
      </c>
      <c r="C7" s="2" t="s">
        <v>144</v>
      </c>
      <c r="D7" s="2">
        <v>5</v>
      </c>
      <c r="E7" s="1" t="s">
        <v>34</v>
      </c>
      <c r="F7" s="1">
        <v>12010</v>
      </c>
      <c r="G7" s="1" t="s">
        <v>33</v>
      </c>
      <c r="H7" s="1" t="s">
        <v>10</v>
      </c>
      <c r="I7" s="1" t="s">
        <v>16</v>
      </c>
      <c r="J7" s="1" t="s">
        <v>23</v>
      </c>
      <c r="K7" s="1" t="s">
        <v>24</v>
      </c>
      <c r="L7" s="1" t="s">
        <v>40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0F79-2158-CA4E-B969-AC78B6395658}">
  <dimension ref="A1:M11"/>
  <sheetViews>
    <sheetView zoomScale="120" zoomScaleNormal="120" workbookViewId="0">
      <pane xSplit="1" topLeftCell="B1" activePane="topRight" state="frozen"/>
      <selection pane="topRight" activeCell="G10" sqref="G10"/>
    </sheetView>
  </sheetViews>
  <sheetFormatPr baseColWidth="10" defaultRowHeight="16" x14ac:dyDescent="0.2"/>
  <cols>
    <col min="1" max="1" width="28.83203125" bestFit="1" customWidth="1"/>
    <col min="2" max="2" width="11" customWidth="1"/>
    <col min="3" max="3" width="22.1640625" bestFit="1" customWidth="1"/>
    <col min="4" max="4" width="58" bestFit="1" customWidth="1"/>
    <col min="5" max="5" width="20.1640625" customWidth="1"/>
    <col min="6" max="6" width="27.6640625" bestFit="1" customWidth="1"/>
    <col min="7" max="7" width="38.5" bestFit="1" customWidth="1"/>
    <col min="8" max="8" width="54.33203125" bestFit="1" customWidth="1"/>
    <col min="9" max="9" width="17" bestFit="1" customWidth="1"/>
    <col min="10" max="10" width="21.6640625" bestFit="1" customWidth="1"/>
    <col min="11" max="11" width="19.33203125" bestFit="1" customWidth="1"/>
    <col min="12" max="12" width="19.1640625" bestFit="1" customWidth="1"/>
    <col min="13" max="13" width="35.5" bestFit="1" customWidth="1"/>
  </cols>
  <sheetData>
    <row r="1" spans="1:13" x14ac:dyDescent="0.2">
      <c r="A1" s="7" t="s">
        <v>45</v>
      </c>
      <c r="B1" s="7" t="s">
        <v>102</v>
      </c>
      <c r="C1" s="7" t="s">
        <v>46</v>
      </c>
      <c r="D1" s="7" t="s">
        <v>47</v>
      </c>
      <c r="E1" s="7" t="s">
        <v>75</v>
      </c>
      <c r="F1" s="7" t="s">
        <v>48</v>
      </c>
      <c r="G1" s="7" t="s">
        <v>140</v>
      </c>
      <c r="H1" s="7" t="s">
        <v>49</v>
      </c>
      <c r="I1" s="7" t="s">
        <v>94</v>
      </c>
      <c r="J1" s="7" t="s">
        <v>95</v>
      </c>
      <c r="K1" s="7" t="s">
        <v>103</v>
      </c>
      <c r="L1" s="7" t="s">
        <v>104</v>
      </c>
      <c r="M1" s="7" t="s">
        <v>105</v>
      </c>
    </row>
    <row r="2" spans="1:13" x14ac:dyDescent="0.2">
      <c r="A2" s="6" t="s">
        <v>50</v>
      </c>
      <c r="B2" s="6"/>
      <c r="C2" s="6" t="s">
        <v>51</v>
      </c>
      <c r="D2" s="6" t="s">
        <v>52</v>
      </c>
      <c r="E2" s="6"/>
      <c r="F2" s="6" t="s">
        <v>53</v>
      </c>
      <c r="G2" s="6"/>
      <c r="H2" s="3"/>
      <c r="I2" s="3" t="b">
        <v>0</v>
      </c>
      <c r="J2" s="3" t="s">
        <v>96</v>
      </c>
    </row>
    <row r="3" spans="1:13" x14ac:dyDescent="0.2">
      <c r="A3" s="6" t="s">
        <v>54</v>
      </c>
      <c r="B3" s="6">
        <v>9</v>
      </c>
      <c r="C3" s="6" t="s">
        <v>55</v>
      </c>
      <c r="D3" s="6" t="s">
        <v>56</v>
      </c>
      <c r="E3" s="6" t="s">
        <v>76</v>
      </c>
      <c r="F3" s="6" t="s">
        <v>77</v>
      </c>
      <c r="G3" s="6"/>
      <c r="H3" s="6" t="s">
        <v>57</v>
      </c>
      <c r="I3" s="3" t="b">
        <v>1</v>
      </c>
      <c r="J3" s="6" t="s">
        <v>97</v>
      </c>
      <c r="K3" s="3" t="s">
        <v>106</v>
      </c>
      <c r="L3" s="3" t="s">
        <v>107</v>
      </c>
      <c r="M3" s="3" t="s">
        <v>111</v>
      </c>
    </row>
    <row r="4" spans="1:13" x14ac:dyDescent="0.2">
      <c r="A4" s="6" t="s">
        <v>58</v>
      </c>
      <c r="B4" s="6">
        <v>48</v>
      </c>
      <c r="C4" s="6" t="s">
        <v>59</v>
      </c>
      <c r="D4" s="6" t="s">
        <v>60</v>
      </c>
      <c r="E4" s="6" t="s">
        <v>78</v>
      </c>
      <c r="F4" s="6" t="s">
        <v>61</v>
      </c>
      <c r="G4" s="6"/>
      <c r="H4" s="6" t="s">
        <v>62</v>
      </c>
      <c r="I4" s="3" t="b">
        <v>0</v>
      </c>
      <c r="J4" s="3"/>
      <c r="K4" s="3"/>
      <c r="L4" s="3"/>
      <c r="M4" s="3"/>
    </row>
    <row r="5" spans="1:13" x14ac:dyDescent="0.2">
      <c r="A5" s="6" t="s">
        <v>63</v>
      </c>
      <c r="B5" s="6"/>
      <c r="C5" s="6" t="s">
        <v>64</v>
      </c>
      <c r="D5" s="6" t="s">
        <v>80</v>
      </c>
      <c r="E5" s="6" t="s">
        <v>78</v>
      </c>
      <c r="F5" s="6" t="s">
        <v>82</v>
      </c>
      <c r="G5" s="6"/>
      <c r="H5" s="6" t="s">
        <v>83</v>
      </c>
      <c r="I5" s="3" t="b">
        <v>1</v>
      </c>
      <c r="J5" s="6" t="s">
        <v>97</v>
      </c>
      <c r="K5" s="6" t="s">
        <v>108</v>
      </c>
      <c r="L5" s="6" t="s">
        <v>109</v>
      </c>
      <c r="M5" s="6" t="s">
        <v>109</v>
      </c>
    </row>
    <row r="6" spans="1:13" x14ac:dyDescent="0.2">
      <c r="A6" s="6" t="s">
        <v>79</v>
      </c>
      <c r="B6" s="6"/>
      <c r="C6" s="6" t="s">
        <v>64</v>
      </c>
      <c r="D6" s="6" t="s">
        <v>81</v>
      </c>
      <c r="E6" s="6"/>
      <c r="F6" s="6"/>
      <c r="G6" s="6"/>
      <c r="H6" s="6" t="s">
        <v>84</v>
      </c>
      <c r="I6" s="3" t="s">
        <v>137</v>
      </c>
      <c r="J6" s="6" t="s">
        <v>97</v>
      </c>
      <c r="K6" s="6" t="s">
        <v>110</v>
      </c>
      <c r="L6" s="6" t="s">
        <v>112</v>
      </c>
      <c r="M6" s="6" t="s">
        <v>112</v>
      </c>
    </row>
    <row r="7" spans="1:13" x14ac:dyDescent="0.2">
      <c r="A7" s="6" t="s">
        <v>65</v>
      </c>
      <c r="B7" s="6">
        <v>12</v>
      </c>
      <c r="C7" s="6" t="s">
        <v>66</v>
      </c>
      <c r="D7" s="6" t="s">
        <v>67</v>
      </c>
      <c r="E7" s="6" t="s">
        <v>87</v>
      </c>
      <c r="F7" s="6" t="s">
        <v>87</v>
      </c>
      <c r="G7" s="6"/>
      <c r="H7" s="7" t="s">
        <v>68</v>
      </c>
      <c r="I7" s="3" t="b">
        <v>1</v>
      </c>
      <c r="J7" s="6" t="s">
        <v>97</v>
      </c>
      <c r="K7" s="3" t="s">
        <v>118</v>
      </c>
      <c r="L7" s="3" t="s">
        <v>119</v>
      </c>
      <c r="M7" s="3" t="s">
        <v>13</v>
      </c>
    </row>
    <row r="8" spans="1:13" ht="16" customHeight="1" x14ac:dyDescent="0.2">
      <c r="A8" s="8" t="s">
        <v>92</v>
      </c>
      <c r="B8" s="8">
        <v>4</v>
      </c>
      <c r="C8" s="6" t="s">
        <v>69</v>
      </c>
      <c r="D8" s="6" t="s">
        <v>70</v>
      </c>
      <c r="E8" s="6" t="s">
        <v>85</v>
      </c>
      <c r="F8" s="6" t="s">
        <v>86</v>
      </c>
      <c r="G8" s="6"/>
      <c r="H8" s="6" t="s">
        <v>88</v>
      </c>
      <c r="I8" s="3" t="b">
        <v>0</v>
      </c>
      <c r="J8" s="3" t="s">
        <v>138</v>
      </c>
      <c r="K8" s="3" t="s">
        <v>116</v>
      </c>
      <c r="L8" s="3" t="s">
        <v>2</v>
      </c>
      <c r="M8" s="3" t="s">
        <v>117</v>
      </c>
    </row>
    <row r="9" spans="1:13" x14ac:dyDescent="0.2">
      <c r="A9" s="6" t="s">
        <v>71</v>
      </c>
      <c r="B9" s="6">
        <v>96</v>
      </c>
      <c r="C9" s="6" t="s">
        <v>72</v>
      </c>
      <c r="D9" s="6" t="s">
        <v>73</v>
      </c>
      <c r="E9" s="6" t="s">
        <v>89</v>
      </c>
      <c r="F9" s="6" t="s">
        <v>90</v>
      </c>
      <c r="G9" s="6"/>
      <c r="H9" s="7" t="s">
        <v>91</v>
      </c>
      <c r="I9" s="3" t="b">
        <v>0</v>
      </c>
      <c r="J9" s="3" t="s">
        <v>138</v>
      </c>
      <c r="K9" s="3" t="s">
        <v>113</v>
      </c>
      <c r="L9" s="3" t="s">
        <v>114</v>
      </c>
      <c r="M9" s="3" t="s">
        <v>115</v>
      </c>
    </row>
    <row r="10" spans="1:13" x14ac:dyDescent="0.2">
      <c r="A10" s="6" t="s">
        <v>74</v>
      </c>
      <c r="B10" s="6">
        <v>437</v>
      </c>
      <c r="C10" s="6" t="s">
        <v>98</v>
      </c>
      <c r="D10" s="6" t="s">
        <v>93</v>
      </c>
      <c r="E10" s="6" t="s">
        <v>99</v>
      </c>
      <c r="F10" s="3" t="s">
        <v>100</v>
      </c>
      <c r="G10" s="3"/>
      <c r="H10" s="3" t="s">
        <v>101</v>
      </c>
      <c r="I10" s="3" t="b">
        <v>1</v>
      </c>
      <c r="J10" s="3" t="s">
        <v>97</v>
      </c>
      <c r="K10" s="3" t="s">
        <v>120</v>
      </c>
      <c r="L10" s="3" t="s">
        <v>121</v>
      </c>
      <c r="M10" s="3" t="s">
        <v>122</v>
      </c>
    </row>
    <row r="11" spans="1:13" x14ac:dyDescent="0.2">
      <c r="A11" s="6" t="s">
        <v>128</v>
      </c>
      <c r="B11" s="6">
        <v>80</v>
      </c>
      <c r="C11" s="6" t="s">
        <v>130</v>
      </c>
      <c r="D11" s="6" t="s">
        <v>131</v>
      </c>
      <c r="E11" s="6" t="s">
        <v>129</v>
      </c>
      <c r="G11" t="s">
        <v>139</v>
      </c>
      <c r="H11" s="6" t="s">
        <v>132</v>
      </c>
      <c r="I11" s="3" t="b">
        <v>1</v>
      </c>
      <c r="J11" s="3" t="s">
        <v>97</v>
      </c>
      <c r="K11" s="3" t="s">
        <v>134</v>
      </c>
      <c r="L11" s="3" t="s">
        <v>135</v>
      </c>
      <c r="M11" s="3" t="s">
        <v>133</v>
      </c>
    </row>
  </sheetData>
  <phoneticPr fontId="1" type="noConversion"/>
  <conditionalFormatting sqref="I2:I11">
    <cfRule type="cellIs" dxfId="1" priority="1" operator="equal">
      <formula>$I$3</formula>
    </cfRule>
    <cfRule type="cellIs" dxfId="0" priority="2" operator="equal">
      <formula>$I$3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Oligo Annotations</vt:lpstr>
      <vt:lpstr>External 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Huuki</dc:creator>
  <cp:lastModifiedBy>Louise Huuki</cp:lastModifiedBy>
  <dcterms:created xsi:type="dcterms:W3CDTF">2026-03-17T15:46:57Z</dcterms:created>
  <dcterms:modified xsi:type="dcterms:W3CDTF">2026-09-10T16:22:15Z</dcterms:modified>
</cp:coreProperties>
</file>